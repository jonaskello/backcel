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code\github\jonaskello\backcel\public\tests\data\"/>
    </mc:Choice>
  </mc:AlternateContent>
  <xr:revisionPtr revIDLastSave="0" documentId="13_ncr:1_{4D242594-FDA6-4EC3-9CD9-550361284439}" xr6:coauthVersionLast="47" xr6:coauthVersionMax="47" xr10:uidLastSave="{00000000-0000-0000-0000-000000000000}"/>
  <bookViews>
    <workbookView xWindow="-103" yWindow="-103" windowWidth="33120" windowHeight="18000" activeTab="6" xr2:uid="{00000000-000D-0000-FFFF-FFFF00000000}"/>
  </bookViews>
  <sheets>
    <sheet name="Main" sheetId="1" r:id="rId1"/>
    <sheet name="Assets" sheetId="4" r:id="rId2"/>
    <sheet name="Prices" sheetId="5" r:id="rId3"/>
    <sheet name="Portfolios" sheetId="2" r:id="rId4"/>
    <sheet name="Expected_Weights" sheetId="7" r:id="rId5"/>
    <sheet name="Expected_Values" sheetId="6" r:id="rId6"/>
    <sheet name="Expected_Stats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D5" i="6"/>
  <c r="D6" i="6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" i="6"/>
  <c r="K4" i="7"/>
  <c r="H4" i="7"/>
  <c r="B29" i="7"/>
  <c r="B30" i="7"/>
  <c r="B31" i="7"/>
  <c r="B32" i="7"/>
  <c r="B33" i="7"/>
  <c r="B34" i="7"/>
  <c r="B20" i="7"/>
  <c r="B21" i="7"/>
  <c r="B22" i="7"/>
  <c r="B23" i="7"/>
  <c r="B24" i="7"/>
  <c r="B25" i="7"/>
  <c r="B26" i="7"/>
  <c r="B27" i="7"/>
  <c r="B28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3" i="7"/>
  <c r="D32" i="5"/>
  <c r="E32" i="5"/>
  <c r="D33" i="5"/>
  <c r="E33" i="5"/>
  <c r="D20" i="5"/>
  <c r="E20" i="5"/>
  <c r="D21" i="5"/>
  <c r="E21" i="5"/>
  <c r="D22" i="5"/>
  <c r="E22" i="5"/>
  <c r="D23" i="5"/>
  <c r="E23" i="5"/>
  <c r="D24" i="5"/>
  <c r="E24" i="5"/>
  <c r="D25" i="5"/>
  <c r="E25" i="5"/>
  <c r="D26" i="5"/>
  <c r="E26" i="5"/>
  <c r="D27" i="5"/>
  <c r="E27" i="5"/>
  <c r="D28" i="5"/>
  <c r="E28" i="5"/>
  <c r="D29" i="5"/>
  <c r="E29" i="5"/>
  <c r="D30" i="5"/>
  <c r="E30" i="5"/>
  <c r="D31" i="5"/>
  <c r="E31" i="5"/>
  <c r="D11" i="5"/>
  <c r="E11" i="5"/>
  <c r="D12" i="5"/>
  <c r="E12" i="5"/>
  <c r="D13" i="5"/>
  <c r="E13" i="5"/>
  <c r="D14" i="5"/>
  <c r="E14" i="5"/>
  <c r="D15" i="5"/>
  <c r="E15" i="5"/>
  <c r="D16" i="5"/>
  <c r="E16" i="5"/>
  <c r="D17" i="5"/>
  <c r="E17" i="5"/>
  <c r="D18" i="5"/>
  <c r="E18" i="5"/>
  <c r="D19" i="5"/>
  <c r="E19" i="5"/>
  <c r="E4" i="5"/>
  <c r="E5" i="5"/>
  <c r="E6" i="5"/>
  <c r="E7" i="5"/>
  <c r="E8" i="5"/>
  <c r="E9" i="5"/>
  <c r="E10" i="5"/>
  <c r="E3" i="5"/>
  <c r="D4" i="5"/>
  <c r="D5" i="5"/>
  <c r="D6" i="5"/>
  <c r="D7" i="5"/>
  <c r="D8" i="5"/>
  <c r="D9" i="5"/>
  <c r="D10" i="5"/>
  <c r="D3" i="5"/>
  <c r="E4" i="7" s="1"/>
  <c r="K5" i="7" l="1"/>
  <c r="C3" i="6"/>
  <c r="F5" i="7"/>
  <c r="G5" i="7"/>
  <c r="C5" i="7"/>
  <c r="D5" i="7"/>
  <c r="E8" i="7"/>
  <c r="B3" i="6"/>
  <c r="H5" i="7" l="1"/>
  <c r="C9" i="7"/>
  <c r="D9" i="7"/>
  <c r="E5" i="7"/>
  <c r="G6" i="7" l="1"/>
  <c r="C4" i="6"/>
  <c r="F6" i="7"/>
  <c r="C6" i="7"/>
  <c r="E9" i="7"/>
  <c r="D6" i="7"/>
  <c r="B4" i="6"/>
  <c r="K6" i="7" l="1"/>
  <c r="H6" i="7"/>
  <c r="F7" i="7" s="1"/>
  <c r="C10" i="7"/>
  <c r="D10" i="7"/>
  <c r="E10" i="7" s="1"/>
  <c r="C11" i="7" s="1"/>
  <c r="E6" i="7"/>
  <c r="H7" i="7" l="1"/>
  <c r="F8" i="7" s="1"/>
  <c r="C5" i="6"/>
  <c r="C6" i="6" s="1"/>
  <c r="G7" i="7"/>
  <c r="C7" i="7"/>
  <c r="D11" i="7"/>
  <c r="B5" i="6"/>
  <c r="D7" i="7"/>
  <c r="K7" i="7" l="1"/>
  <c r="G8" i="7"/>
  <c r="E7" i="7"/>
  <c r="B6" i="6" s="1"/>
  <c r="B7" i="6" s="1"/>
  <c r="B8" i="6" s="1"/>
  <c r="B9" i="6" s="1"/>
  <c r="E11" i="7"/>
  <c r="K8" i="7" l="1"/>
  <c r="H8" i="7"/>
  <c r="G9" i="7" s="1"/>
  <c r="C12" i="7"/>
  <c r="B10" i="6"/>
  <c r="D12" i="7"/>
  <c r="F9" i="7" l="1"/>
  <c r="C7" i="6"/>
  <c r="E12" i="7"/>
  <c r="K9" i="7" l="1"/>
  <c r="H9" i="7"/>
  <c r="C13" i="7"/>
  <c r="B11" i="6"/>
  <c r="D13" i="7"/>
  <c r="C8" i="6" l="1"/>
  <c r="G10" i="7"/>
  <c r="F10" i="7"/>
  <c r="E13" i="7"/>
  <c r="K10" i="7" l="1"/>
  <c r="H10" i="7"/>
  <c r="G11" i="7"/>
  <c r="D14" i="7"/>
  <c r="C14" i="7"/>
  <c r="B12" i="6"/>
  <c r="C9" i="6" l="1"/>
  <c r="C10" i="6" s="1"/>
  <c r="F11" i="7"/>
  <c r="H11" i="7"/>
  <c r="G12" i="7" s="1"/>
  <c r="E14" i="7"/>
  <c r="K11" i="7" l="1"/>
  <c r="F12" i="7"/>
  <c r="B13" i="6"/>
  <c r="E15" i="7"/>
  <c r="K12" i="7" l="1"/>
  <c r="H12" i="7"/>
  <c r="F13" i="7" s="1"/>
  <c r="C16" i="7"/>
  <c r="B14" i="6"/>
  <c r="D16" i="7"/>
  <c r="H13" i="7" l="1"/>
  <c r="F14" i="7" s="1"/>
  <c r="C11" i="6"/>
  <c r="C12" i="6" s="1"/>
  <c r="G13" i="7"/>
  <c r="E16" i="7"/>
  <c r="K13" i="7" l="1"/>
  <c r="F15" i="7"/>
  <c r="H14" i="7"/>
  <c r="G14" i="7"/>
  <c r="C17" i="7"/>
  <c r="D17" i="7"/>
  <c r="B15" i="6"/>
  <c r="H15" i="7" l="1"/>
  <c r="F16" i="7" s="1"/>
  <c r="C13" i="6"/>
  <c r="G15" i="7"/>
  <c r="E17" i="7"/>
  <c r="K14" i="7" l="1"/>
  <c r="H16" i="7"/>
  <c r="G16" i="7"/>
  <c r="C14" i="6"/>
  <c r="B16" i="6"/>
  <c r="C18" i="7"/>
  <c r="D18" i="7"/>
  <c r="K15" i="7" l="1"/>
  <c r="F17" i="7"/>
  <c r="G17" i="7"/>
  <c r="C15" i="6"/>
  <c r="E18" i="7"/>
  <c r="K16" i="7" l="1"/>
  <c r="H17" i="7"/>
  <c r="B17" i="6"/>
  <c r="D19" i="7"/>
  <c r="C19" i="7"/>
  <c r="K17" i="7" l="1"/>
  <c r="C16" i="6"/>
  <c r="G18" i="7"/>
  <c r="F18" i="7"/>
  <c r="E19" i="7"/>
  <c r="D20" i="7"/>
  <c r="K18" i="7" l="1"/>
  <c r="H18" i="7"/>
  <c r="F19" i="7" s="1"/>
  <c r="C20" i="7"/>
  <c r="E20" i="7" s="1"/>
  <c r="B18" i="6"/>
  <c r="H19" i="7" l="1"/>
  <c r="F20" i="7" s="1"/>
  <c r="C17" i="6"/>
  <c r="G19" i="7"/>
  <c r="D21" i="7"/>
  <c r="B19" i="6"/>
  <c r="C21" i="7"/>
  <c r="K19" i="7" l="1"/>
  <c r="F21" i="7"/>
  <c r="H20" i="7"/>
  <c r="C18" i="6"/>
  <c r="C19" i="6" s="1"/>
  <c r="G20" i="7"/>
  <c r="E21" i="7"/>
  <c r="B20" i="6" s="1"/>
  <c r="H21" i="7" l="1"/>
  <c r="F22" i="7" s="1"/>
  <c r="G21" i="7"/>
  <c r="E22" i="7"/>
  <c r="K20" i="7" l="1"/>
  <c r="C20" i="6"/>
  <c r="G22" i="7"/>
  <c r="C23" i="7"/>
  <c r="B21" i="6"/>
  <c r="D23" i="7"/>
  <c r="H22" i="7" l="1"/>
  <c r="E23" i="7"/>
  <c r="K21" i="7" l="1"/>
  <c r="G23" i="7"/>
  <c r="F23" i="7"/>
  <c r="C21" i="6"/>
  <c r="C24" i="7"/>
  <c r="D24" i="7"/>
  <c r="B22" i="6"/>
  <c r="K22" i="7" l="1"/>
  <c r="H23" i="7"/>
  <c r="F24" i="7"/>
  <c r="E24" i="7"/>
  <c r="G24" i="7" l="1"/>
  <c r="C22" i="6"/>
  <c r="C25" i="7"/>
  <c r="B23" i="6"/>
  <c r="D25" i="7"/>
  <c r="K23" i="7" l="1"/>
  <c r="H24" i="7"/>
  <c r="E25" i="7"/>
  <c r="C23" i="6" l="1"/>
  <c r="F25" i="7"/>
  <c r="G25" i="7"/>
  <c r="C26" i="7"/>
  <c r="D26" i="7"/>
  <c r="B24" i="6"/>
  <c r="K24" i="7" l="1"/>
  <c r="H25" i="7"/>
  <c r="F26" i="7" s="1"/>
  <c r="E26" i="7"/>
  <c r="G26" i="7" l="1"/>
  <c r="C24" i="6"/>
  <c r="C27" i="7"/>
  <c r="D27" i="7"/>
  <c r="E27" i="7" s="1"/>
  <c r="B25" i="6"/>
  <c r="K25" i="7" l="1"/>
  <c r="K26" i="7"/>
  <c r="H26" i="7"/>
  <c r="C28" i="7"/>
  <c r="B26" i="6"/>
  <c r="D28" i="7"/>
  <c r="C25" i="6" l="1"/>
  <c r="F27" i="7"/>
  <c r="G27" i="7"/>
  <c r="E28" i="7"/>
  <c r="B27" i="6"/>
  <c r="K27" i="7" l="1"/>
  <c r="H27" i="7"/>
  <c r="F28" i="7" s="1"/>
  <c r="E29" i="7"/>
  <c r="C26" i="6" l="1"/>
  <c r="C27" i="6" s="1"/>
  <c r="G28" i="7"/>
  <c r="H28" i="7"/>
  <c r="G29" i="7" s="1"/>
  <c r="F29" i="7"/>
  <c r="C30" i="7"/>
  <c r="B28" i="6"/>
  <c r="D30" i="7"/>
  <c r="K28" i="7" l="1"/>
  <c r="H29" i="7"/>
  <c r="F30" i="7" s="1"/>
  <c r="E30" i="7"/>
  <c r="C28" i="6" l="1"/>
  <c r="G30" i="7"/>
  <c r="H30" i="7" s="1"/>
  <c r="H34" i="7"/>
  <c r="C31" i="7"/>
  <c r="D31" i="7"/>
  <c r="B29" i="6"/>
  <c r="K29" i="7" l="1"/>
  <c r="F31" i="7"/>
  <c r="G31" i="7"/>
  <c r="C29" i="6"/>
  <c r="E31" i="7"/>
  <c r="K30" i="7" l="1"/>
  <c r="K31" i="7"/>
  <c r="H31" i="7"/>
  <c r="F32" i="7"/>
  <c r="C32" i="7"/>
  <c r="D32" i="7"/>
  <c r="B30" i="6"/>
  <c r="C30" i="6" l="1"/>
  <c r="G32" i="7"/>
  <c r="H32" i="7"/>
  <c r="F33" i="7" s="1"/>
  <c r="E32" i="7"/>
  <c r="D33" i="7"/>
  <c r="K32" i="7" l="1"/>
  <c r="H33" i="7"/>
  <c r="C31" i="6"/>
  <c r="C32" i="6" s="1"/>
  <c r="C33" i="6" s="1"/>
  <c r="G33" i="7"/>
  <c r="C33" i="7"/>
  <c r="B31" i="6"/>
  <c r="E33" i="7"/>
  <c r="C34" i="7" s="1"/>
  <c r="B32" i="6" l="1"/>
  <c r="D34" i="7"/>
  <c r="K33" i="7" l="1"/>
  <c r="K34" i="7"/>
  <c r="E34" i="7"/>
  <c r="B33" i="6" s="1"/>
</calcChain>
</file>

<file path=xl/sharedStrings.xml><?xml version="1.0" encoding="utf-8"?>
<sst xmlns="http://schemas.openxmlformats.org/spreadsheetml/2006/main" count="85" uniqueCount="47">
  <si>
    <t>Name</t>
  </si>
  <si>
    <t>Value</t>
  </si>
  <si>
    <t>currency</t>
  </si>
  <si>
    <t>SEK</t>
  </si>
  <si>
    <t>start</t>
  </si>
  <si>
    <t>end</t>
  </si>
  <si>
    <t>Assets</t>
  </si>
  <si>
    <t>ID</t>
  </si>
  <si>
    <t>A1</t>
  </si>
  <si>
    <t>A2</t>
  </si>
  <si>
    <t>The first asset</t>
  </si>
  <si>
    <t>The second asset</t>
  </si>
  <si>
    <t>Portfolios</t>
  </si>
  <si>
    <t>Date</t>
  </si>
  <si>
    <t>P1</t>
  </si>
  <si>
    <t>P2</t>
  </si>
  <si>
    <t>Asset</t>
  </si>
  <si>
    <t>Portfolio</t>
  </si>
  <si>
    <t>Start</t>
  </si>
  <si>
    <t>End</t>
  </si>
  <si>
    <t>RB Check</t>
  </si>
  <si>
    <t>RB Type</t>
  </si>
  <si>
    <t>Total Return %</t>
  </si>
  <si>
    <t>CAGR %</t>
  </si>
  <si>
    <t>Volatility %</t>
  </si>
  <si>
    <t>Sharpe</t>
  </si>
  <si>
    <t>Sortino</t>
  </si>
  <si>
    <t>Max Drawdown %</t>
  </si>
  <si>
    <t>Avg Drawdown %</t>
  </si>
  <si>
    <t>Max Drawdown Period</t>
  </si>
  <si>
    <t>full</t>
  </si>
  <si>
    <t>1 days</t>
  </si>
  <si>
    <t>portfolios</t>
  </si>
  <si>
    <t>assets</t>
  </si>
  <si>
    <t>__rb_check</t>
  </si>
  <si>
    <t>__rb_type</t>
  </si>
  <si>
    <t>weekly</t>
  </si>
  <si>
    <t>_A1_grow</t>
  </si>
  <si>
    <t>_A2_grow</t>
  </si>
  <si>
    <t>_grow</t>
  </si>
  <si>
    <t>monthly</t>
  </si>
  <si>
    <t>_WD</t>
  </si>
  <si>
    <t>_P1</t>
  </si>
  <si>
    <t>_P2</t>
  </si>
  <si>
    <t>daily</t>
  </si>
  <si>
    <t>P3</t>
  </si>
  <si>
    <t>_P3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</si>
</sst>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%"/>
    <numFmt numFmtId="166" formatCode="[$]dddd" x16r2:formatCode16="[$-en-SE]dd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164" fontId="1" fillId="0" borderId="0" xfId="0" applyNumberFormat="1" applyFont="1"/>
    <xf numFmtId="164" fontId="0" fillId="0" borderId="0" xfId="0" applyNumberFormat="1"/>
    <xf numFmtId="10" fontId="1" fillId="0" borderId="0" xfId="0" applyNumberFormat="1" applyFont="1"/>
    <xf numFmtId="10" fontId="0" fillId="0" borderId="0" xfId="0" applyNumberFormat="1"/>
    <xf numFmtId="165" fontId="1" fillId="0" borderId="0" xfId="0" applyNumberFormat="1" applyFont="1"/>
    <xf numFmtId="166" fontId="0" fillId="0" borderId="0" xfId="0" applyNumberFormat="1" applyAlignment="1">
      <alignment horizontal="left"/>
    </xf>
    <xf numFmtId="166" fontId="1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zoomScale="160" zoomScaleNormal="160" workbookViewId="0">
      <selection activeCell="A7" sqref="A7"/>
    </sheetView>
  </sheetViews>
  <sheetFormatPr defaultRowHeight="14.6" x14ac:dyDescent="0.4"/>
  <cols>
    <col min="1" max="1" width="8.84375" bestFit="1" customWidth="1"/>
    <col min="2" max="2" width="13.4609375" bestFit="1" customWidth="1"/>
  </cols>
  <sheetData>
    <row r="1" spans="1:2" x14ac:dyDescent="0.4">
      <c r="A1" s="1" t="s">
        <v>0</v>
      </c>
      <c r="B1" s="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4</v>
      </c>
      <c r="B3" s="2">
        <v>45658</v>
      </c>
    </row>
    <row r="4" spans="1:2" x14ac:dyDescent="0.4">
      <c r="A4" t="s">
        <v>5</v>
      </c>
      <c r="B4" s="2">
        <v>45689</v>
      </c>
    </row>
    <row r="5" spans="1:2" x14ac:dyDescent="0.4">
      <c r="A5" t="s">
        <v>32</v>
      </c>
      <c r="B5" t="s">
        <v>12</v>
      </c>
    </row>
    <row r="6" spans="1:2" x14ac:dyDescent="0.4">
      <c r="A6" t="s">
        <v>33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71D88-DDEC-4A65-8905-A99CA73725FC}">
  <dimension ref="A1:B3"/>
  <sheetViews>
    <sheetView zoomScale="175" zoomScaleNormal="175" workbookViewId="0">
      <selection activeCell="C1" sqref="C1:D1048576"/>
    </sheetView>
  </sheetViews>
  <sheetFormatPr defaultRowHeight="14.6" x14ac:dyDescent="0.4"/>
  <cols>
    <col min="2" max="2" width="14.921875" bestFit="1" customWidth="1"/>
  </cols>
  <sheetData>
    <row r="1" spans="1:2" x14ac:dyDescent="0.4">
      <c r="A1" s="1" t="s">
        <v>7</v>
      </c>
      <c r="B1" s="1" t="s">
        <v>0</v>
      </c>
    </row>
    <row r="2" spans="1:2" x14ac:dyDescent="0.4">
      <c r="A2" t="s">
        <v>8</v>
      </c>
      <c r="B2" t="s">
        <v>10</v>
      </c>
    </row>
    <row r="3" spans="1:2" x14ac:dyDescent="0.4">
      <c r="A3" t="s">
        <v>9</v>
      </c>
      <c r="B3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42483-BB80-4E18-92F0-22F7848078C4}">
  <dimension ref="A1:E33"/>
  <sheetViews>
    <sheetView zoomScale="190" zoomScaleNormal="190" workbookViewId="0">
      <selection activeCell="F3" sqref="F3"/>
    </sheetView>
  </sheetViews>
  <sheetFormatPr defaultRowHeight="14.6" x14ac:dyDescent="0.4"/>
  <cols>
    <col min="1" max="1" width="10.07421875" bestFit="1" customWidth="1"/>
    <col min="4" max="4" width="9.23046875" style="7"/>
  </cols>
  <sheetData>
    <row r="1" spans="1:5" x14ac:dyDescent="0.4">
      <c r="A1" s="1" t="s">
        <v>13</v>
      </c>
      <c r="B1" s="1" t="s">
        <v>8</v>
      </c>
      <c r="C1" s="1" t="s">
        <v>9</v>
      </c>
      <c r="D1" s="6" t="s">
        <v>37</v>
      </c>
      <c r="E1" s="10" t="s">
        <v>38</v>
      </c>
    </row>
    <row r="2" spans="1:5" x14ac:dyDescent="0.4">
      <c r="A2" s="2">
        <v>45658</v>
      </c>
      <c r="B2">
        <v>100</v>
      </c>
      <c r="C2">
        <v>100</v>
      </c>
      <c r="D2" s="7">
        <v>0</v>
      </c>
      <c r="E2" s="7">
        <v>0</v>
      </c>
    </row>
    <row r="3" spans="1:5" x14ac:dyDescent="0.4">
      <c r="A3" s="2">
        <v>45659</v>
      </c>
      <c r="B3">
        <v>101</v>
      </c>
      <c r="C3">
        <v>90</v>
      </c>
      <c r="D3" s="7">
        <f>B3/B2</f>
        <v>1.01</v>
      </c>
      <c r="E3" s="7">
        <f>C3/C2</f>
        <v>0.9</v>
      </c>
    </row>
    <row r="4" spans="1:5" x14ac:dyDescent="0.4">
      <c r="A4" s="2">
        <v>45660</v>
      </c>
      <c r="B4">
        <v>102</v>
      </c>
      <c r="C4">
        <v>100</v>
      </c>
      <c r="D4" s="7">
        <f t="shared" ref="D4:D10" si="0">B4/B3</f>
        <v>1.0099009900990099</v>
      </c>
      <c r="E4" s="7">
        <f t="shared" ref="E4:E10" si="1">C4/C3</f>
        <v>1.1111111111111112</v>
      </c>
    </row>
    <row r="5" spans="1:5" x14ac:dyDescent="0.4">
      <c r="A5" s="2">
        <v>45661</v>
      </c>
      <c r="B5">
        <v>103</v>
      </c>
      <c r="C5">
        <v>90</v>
      </c>
      <c r="D5" s="7">
        <f t="shared" si="0"/>
        <v>1.0098039215686274</v>
      </c>
      <c r="E5" s="7">
        <f t="shared" si="1"/>
        <v>0.9</v>
      </c>
    </row>
    <row r="6" spans="1:5" x14ac:dyDescent="0.4">
      <c r="A6" s="2">
        <v>45662</v>
      </c>
      <c r="B6">
        <v>104</v>
      </c>
      <c r="C6">
        <v>100</v>
      </c>
      <c r="D6" s="7">
        <f t="shared" si="0"/>
        <v>1.0097087378640777</v>
      </c>
      <c r="E6" s="7">
        <f t="shared" si="1"/>
        <v>1.1111111111111112</v>
      </c>
    </row>
    <row r="7" spans="1:5" x14ac:dyDescent="0.4">
      <c r="A7" s="2">
        <v>45663</v>
      </c>
      <c r="B7">
        <v>105</v>
      </c>
      <c r="C7">
        <v>90</v>
      </c>
      <c r="D7" s="7">
        <f t="shared" si="0"/>
        <v>1.0096153846153846</v>
      </c>
      <c r="E7" s="7">
        <f t="shared" si="1"/>
        <v>0.9</v>
      </c>
    </row>
    <row r="8" spans="1:5" x14ac:dyDescent="0.4">
      <c r="A8" s="2">
        <v>45664</v>
      </c>
      <c r="B8">
        <v>106</v>
      </c>
      <c r="C8">
        <v>100</v>
      </c>
      <c r="D8" s="7">
        <f t="shared" si="0"/>
        <v>1.0095238095238095</v>
      </c>
      <c r="E8" s="7">
        <f t="shared" si="1"/>
        <v>1.1111111111111112</v>
      </c>
    </row>
    <row r="9" spans="1:5" x14ac:dyDescent="0.4">
      <c r="A9" s="2">
        <v>45665</v>
      </c>
      <c r="B9">
        <v>107</v>
      </c>
      <c r="C9">
        <v>90</v>
      </c>
      <c r="D9" s="7">
        <f t="shared" si="0"/>
        <v>1.0094339622641511</v>
      </c>
      <c r="E9" s="7">
        <f t="shared" si="1"/>
        <v>0.9</v>
      </c>
    </row>
    <row r="10" spans="1:5" x14ac:dyDescent="0.4">
      <c r="A10" s="2">
        <v>45666</v>
      </c>
      <c r="B10">
        <v>108</v>
      </c>
      <c r="C10">
        <v>100</v>
      </c>
      <c r="D10" s="7">
        <f t="shared" si="0"/>
        <v>1.0093457943925233</v>
      </c>
      <c r="E10" s="7">
        <f t="shared" si="1"/>
        <v>1.1111111111111112</v>
      </c>
    </row>
    <row r="11" spans="1:5" x14ac:dyDescent="0.4">
      <c r="A11" s="2">
        <v>45667</v>
      </c>
      <c r="B11">
        <v>109</v>
      </c>
      <c r="C11">
        <v>90</v>
      </c>
      <c r="D11" s="7">
        <f t="shared" ref="D11:D20" si="2">B11/B10</f>
        <v>1.0092592592592593</v>
      </c>
      <c r="E11" s="7">
        <f t="shared" ref="E11:E20" si="3">C11/C10</f>
        <v>0.9</v>
      </c>
    </row>
    <row r="12" spans="1:5" x14ac:dyDescent="0.4">
      <c r="A12" s="2">
        <v>45668</v>
      </c>
      <c r="B12">
        <v>110</v>
      </c>
      <c r="C12">
        <v>100</v>
      </c>
      <c r="D12" s="7">
        <f t="shared" si="2"/>
        <v>1.0091743119266054</v>
      </c>
      <c r="E12" s="7">
        <f t="shared" si="3"/>
        <v>1.1111111111111112</v>
      </c>
    </row>
    <row r="13" spans="1:5" x14ac:dyDescent="0.4">
      <c r="A13" s="2">
        <v>45669</v>
      </c>
      <c r="B13">
        <v>111</v>
      </c>
      <c r="C13">
        <v>90</v>
      </c>
      <c r="D13" s="7">
        <f t="shared" si="2"/>
        <v>1.009090909090909</v>
      </c>
      <c r="E13" s="7">
        <f t="shared" si="3"/>
        <v>0.9</v>
      </c>
    </row>
    <row r="14" spans="1:5" x14ac:dyDescent="0.4">
      <c r="A14" s="2">
        <v>45670</v>
      </c>
      <c r="B14">
        <v>112</v>
      </c>
      <c r="C14">
        <v>100</v>
      </c>
      <c r="D14" s="7">
        <f t="shared" si="2"/>
        <v>1.0090090090090089</v>
      </c>
      <c r="E14" s="7">
        <f t="shared" si="3"/>
        <v>1.1111111111111112</v>
      </c>
    </row>
    <row r="15" spans="1:5" x14ac:dyDescent="0.4">
      <c r="A15" s="2">
        <v>45671</v>
      </c>
      <c r="B15">
        <v>113</v>
      </c>
      <c r="C15">
        <v>90</v>
      </c>
      <c r="D15" s="7">
        <f t="shared" si="2"/>
        <v>1.0089285714285714</v>
      </c>
      <c r="E15" s="7">
        <f t="shared" si="3"/>
        <v>0.9</v>
      </c>
    </row>
    <row r="16" spans="1:5" x14ac:dyDescent="0.4">
      <c r="A16" s="2">
        <v>45672</v>
      </c>
      <c r="B16">
        <v>114</v>
      </c>
      <c r="C16">
        <v>100</v>
      </c>
      <c r="D16" s="7">
        <f t="shared" si="2"/>
        <v>1.0088495575221239</v>
      </c>
      <c r="E16" s="7">
        <f t="shared" si="3"/>
        <v>1.1111111111111112</v>
      </c>
    </row>
    <row r="17" spans="1:5" x14ac:dyDescent="0.4">
      <c r="A17" s="2">
        <v>45673</v>
      </c>
      <c r="B17">
        <v>115</v>
      </c>
      <c r="C17">
        <v>90</v>
      </c>
      <c r="D17" s="7">
        <f t="shared" si="2"/>
        <v>1.0087719298245614</v>
      </c>
      <c r="E17" s="7">
        <f t="shared" si="3"/>
        <v>0.9</v>
      </c>
    </row>
    <row r="18" spans="1:5" x14ac:dyDescent="0.4">
      <c r="A18" s="2">
        <v>45674</v>
      </c>
      <c r="B18">
        <v>116</v>
      </c>
      <c r="C18">
        <v>100</v>
      </c>
      <c r="D18" s="7">
        <f t="shared" si="2"/>
        <v>1.008695652173913</v>
      </c>
      <c r="E18" s="7">
        <f t="shared" si="3"/>
        <v>1.1111111111111112</v>
      </c>
    </row>
    <row r="19" spans="1:5" x14ac:dyDescent="0.4">
      <c r="A19" s="2">
        <v>45675</v>
      </c>
      <c r="B19">
        <v>117</v>
      </c>
      <c r="C19">
        <v>90</v>
      </c>
      <c r="D19" s="7">
        <f t="shared" si="2"/>
        <v>1.0086206896551724</v>
      </c>
      <c r="E19" s="7">
        <f t="shared" si="3"/>
        <v>0.9</v>
      </c>
    </row>
    <row r="20" spans="1:5" x14ac:dyDescent="0.4">
      <c r="A20" s="2">
        <v>45676</v>
      </c>
      <c r="B20">
        <v>118</v>
      </c>
      <c r="C20">
        <v>100</v>
      </c>
      <c r="D20" s="7">
        <f t="shared" si="2"/>
        <v>1.0085470085470085</v>
      </c>
      <c r="E20" s="7">
        <f t="shared" si="3"/>
        <v>1.1111111111111112</v>
      </c>
    </row>
    <row r="21" spans="1:5" x14ac:dyDescent="0.4">
      <c r="A21" s="2">
        <v>45677</v>
      </c>
      <c r="B21">
        <v>119</v>
      </c>
      <c r="C21">
        <v>90</v>
      </c>
      <c r="D21" s="7">
        <f t="shared" ref="D21:D33" si="4">B21/B20</f>
        <v>1.0084745762711864</v>
      </c>
      <c r="E21" s="7">
        <f t="shared" ref="E21:E33" si="5">C21/C20</f>
        <v>0.9</v>
      </c>
    </row>
    <row r="22" spans="1:5" x14ac:dyDescent="0.4">
      <c r="A22" s="2">
        <v>45678</v>
      </c>
      <c r="B22">
        <v>120</v>
      </c>
      <c r="C22">
        <v>100</v>
      </c>
      <c r="D22" s="7">
        <f t="shared" si="4"/>
        <v>1.0084033613445378</v>
      </c>
      <c r="E22" s="7">
        <f t="shared" si="5"/>
        <v>1.1111111111111112</v>
      </c>
    </row>
    <row r="23" spans="1:5" x14ac:dyDescent="0.4">
      <c r="A23" s="2">
        <v>45679</v>
      </c>
      <c r="B23">
        <v>121</v>
      </c>
      <c r="C23">
        <v>90</v>
      </c>
      <c r="D23" s="7">
        <f t="shared" si="4"/>
        <v>1.0083333333333333</v>
      </c>
      <c r="E23" s="7">
        <f t="shared" si="5"/>
        <v>0.9</v>
      </c>
    </row>
    <row r="24" spans="1:5" x14ac:dyDescent="0.4">
      <c r="A24" s="2">
        <v>45680</v>
      </c>
      <c r="B24">
        <v>122</v>
      </c>
      <c r="C24">
        <v>100</v>
      </c>
      <c r="D24" s="7">
        <f t="shared" si="4"/>
        <v>1.0082644628099173</v>
      </c>
      <c r="E24" s="7">
        <f t="shared" si="5"/>
        <v>1.1111111111111112</v>
      </c>
    </row>
    <row r="25" spans="1:5" x14ac:dyDescent="0.4">
      <c r="A25" s="2">
        <v>45681</v>
      </c>
      <c r="B25">
        <v>123</v>
      </c>
      <c r="C25">
        <v>90</v>
      </c>
      <c r="D25" s="7">
        <f t="shared" si="4"/>
        <v>1.0081967213114753</v>
      </c>
      <c r="E25" s="7">
        <f t="shared" si="5"/>
        <v>0.9</v>
      </c>
    </row>
    <row r="26" spans="1:5" x14ac:dyDescent="0.4">
      <c r="A26" s="2">
        <v>45682</v>
      </c>
      <c r="B26">
        <v>124</v>
      </c>
      <c r="C26">
        <v>100</v>
      </c>
      <c r="D26" s="7">
        <f t="shared" si="4"/>
        <v>1.0081300813008129</v>
      </c>
      <c r="E26" s="7">
        <f t="shared" si="5"/>
        <v>1.1111111111111112</v>
      </c>
    </row>
    <row r="27" spans="1:5" x14ac:dyDescent="0.4">
      <c r="A27" s="2">
        <v>45683</v>
      </c>
      <c r="B27">
        <v>125</v>
      </c>
      <c r="C27">
        <v>90</v>
      </c>
      <c r="D27" s="7">
        <f t="shared" si="4"/>
        <v>1.0080645161290323</v>
      </c>
      <c r="E27" s="7">
        <f t="shared" si="5"/>
        <v>0.9</v>
      </c>
    </row>
    <row r="28" spans="1:5" x14ac:dyDescent="0.4">
      <c r="A28" s="2">
        <v>45684</v>
      </c>
      <c r="B28">
        <v>126</v>
      </c>
      <c r="C28">
        <v>100</v>
      </c>
      <c r="D28" s="7">
        <f t="shared" si="4"/>
        <v>1.008</v>
      </c>
      <c r="E28" s="7">
        <f t="shared" si="5"/>
        <v>1.1111111111111112</v>
      </c>
    </row>
    <row r="29" spans="1:5" x14ac:dyDescent="0.4">
      <c r="A29" s="2">
        <v>45685</v>
      </c>
      <c r="B29">
        <v>127</v>
      </c>
      <c r="C29">
        <v>90</v>
      </c>
      <c r="D29" s="7">
        <f t="shared" si="4"/>
        <v>1.0079365079365079</v>
      </c>
      <c r="E29" s="7">
        <f t="shared" si="5"/>
        <v>0.9</v>
      </c>
    </row>
    <row r="30" spans="1:5" x14ac:dyDescent="0.4">
      <c r="A30" s="2">
        <v>45686</v>
      </c>
      <c r="B30">
        <v>128</v>
      </c>
      <c r="C30">
        <v>100</v>
      </c>
      <c r="D30" s="7">
        <f t="shared" si="4"/>
        <v>1.0078740157480315</v>
      </c>
      <c r="E30" s="7">
        <f t="shared" si="5"/>
        <v>1.1111111111111112</v>
      </c>
    </row>
    <row r="31" spans="1:5" x14ac:dyDescent="0.4">
      <c r="A31" s="2">
        <v>45687</v>
      </c>
      <c r="B31">
        <v>129</v>
      </c>
      <c r="C31">
        <v>90</v>
      </c>
      <c r="D31" s="7">
        <f t="shared" si="4"/>
        <v>1.0078125</v>
      </c>
      <c r="E31" s="7">
        <f t="shared" si="5"/>
        <v>0.9</v>
      </c>
    </row>
    <row r="32" spans="1:5" x14ac:dyDescent="0.4">
      <c r="A32" s="2">
        <v>45688</v>
      </c>
      <c r="B32">
        <v>130</v>
      </c>
      <c r="C32">
        <v>100</v>
      </c>
      <c r="D32" s="7">
        <f t="shared" si="4"/>
        <v>1.0077519379844961</v>
      </c>
      <c r="E32" s="7">
        <f t="shared" si="5"/>
        <v>1.1111111111111112</v>
      </c>
    </row>
    <row r="33" spans="1:5" x14ac:dyDescent="0.4">
      <c r="A33" s="2">
        <v>45689</v>
      </c>
      <c r="B33">
        <v>131</v>
      </c>
      <c r="C33">
        <v>90</v>
      </c>
      <c r="D33" s="7">
        <f t="shared" si="4"/>
        <v>1.0076923076923077</v>
      </c>
      <c r="E33" s="7">
        <f t="shared" si="5"/>
        <v>0.9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DA01E-A3C8-43F7-BE2B-2D20BB66CB4A}">
  <dimension ref="A1:D5"/>
  <sheetViews>
    <sheetView zoomScale="175" zoomScaleNormal="175" workbookViewId="0">
      <selection activeCell="D2" sqref="D2"/>
    </sheetView>
  </sheetViews>
  <sheetFormatPr defaultRowHeight="14.6" x14ac:dyDescent="0.4"/>
  <cols>
    <col min="1" max="1" width="10.3046875" bestFit="1" customWidth="1"/>
  </cols>
  <sheetData>
    <row r="1" spans="1:4" x14ac:dyDescent="0.4">
      <c r="A1" s="1" t="s">
        <v>7</v>
      </c>
      <c r="B1" s="1" t="s">
        <v>14</v>
      </c>
      <c r="C1" s="1" t="s">
        <v>15</v>
      </c>
      <c r="D1" s="1" t="s">
        <v>45</v>
      </c>
    </row>
    <row r="2" spans="1:4" x14ac:dyDescent="0.4">
      <c r="A2" s="1" t="s">
        <v>34</v>
      </c>
      <c r="B2" t="s">
        <v>36</v>
      </c>
      <c r="C2" t="s">
        <v>40</v>
      </c>
      <c r="D2" t="s">
        <v>44</v>
      </c>
    </row>
    <row r="3" spans="1:4" x14ac:dyDescent="0.4">
      <c r="A3" s="1" t="s">
        <v>35</v>
      </c>
      <c r="B3" t="s">
        <v>30</v>
      </c>
      <c r="C3" t="s">
        <v>30</v>
      </c>
      <c r="D3" t="s">
        <v>30</v>
      </c>
    </row>
    <row r="4" spans="1:4" x14ac:dyDescent="0.4">
      <c r="A4" t="s">
        <v>8</v>
      </c>
      <c r="B4" s="3">
        <v>0.5</v>
      </c>
      <c r="C4" s="3">
        <v>0.5</v>
      </c>
      <c r="D4" s="3">
        <v>0.5</v>
      </c>
    </row>
    <row r="5" spans="1:4" x14ac:dyDescent="0.4">
      <c r="A5" t="s">
        <v>9</v>
      </c>
      <c r="B5" s="3">
        <v>0.5</v>
      </c>
      <c r="C5" s="3">
        <v>0.5</v>
      </c>
      <c r="D5" s="3">
        <v>0.5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A1201-9593-4FA8-BE4A-D6543E3F5A5B}">
  <dimension ref="A1:K34"/>
  <sheetViews>
    <sheetView zoomScale="190" zoomScaleNormal="190" workbookViewId="0">
      <selection activeCell="K4" sqref="K4"/>
    </sheetView>
  </sheetViews>
  <sheetFormatPr defaultRowHeight="14.6" x14ac:dyDescent="0.4"/>
  <cols>
    <col min="1" max="1" width="10.07421875" bestFit="1" customWidth="1"/>
    <col min="2" max="2" width="10.4609375" bestFit="1" customWidth="1"/>
    <col min="5" max="5" width="11.15234375" bestFit="1" customWidth="1"/>
    <col min="8" max="8" width="11.15234375" bestFit="1" customWidth="1"/>
    <col min="11" max="11" width="11.15234375" bestFit="1" customWidth="1"/>
  </cols>
  <sheetData>
    <row r="1" spans="1:11" x14ac:dyDescent="0.4">
      <c r="A1" s="1" t="s">
        <v>17</v>
      </c>
      <c r="B1" s="1" t="s">
        <v>41</v>
      </c>
      <c r="C1" s="8" t="s">
        <v>14</v>
      </c>
      <c r="D1" s="8" t="s">
        <v>14</v>
      </c>
      <c r="E1" s="8" t="s">
        <v>42</v>
      </c>
      <c r="F1" s="8" t="s">
        <v>15</v>
      </c>
      <c r="G1" s="8" t="s">
        <v>15</v>
      </c>
      <c r="H1" s="8" t="s">
        <v>43</v>
      </c>
      <c r="I1" s="8" t="s">
        <v>45</v>
      </c>
      <c r="J1" s="8" t="s">
        <v>45</v>
      </c>
      <c r="K1" s="8" t="s">
        <v>46</v>
      </c>
    </row>
    <row r="2" spans="1:11" x14ac:dyDescent="0.4">
      <c r="A2" s="1" t="s">
        <v>16</v>
      </c>
      <c r="B2" s="1" t="s">
        <v>41</v>
      </c>
      <c r="C2" s="8" t="s">
        <v>8</v>
      </c>
      <c r="D2" s="8" t="s">
        <v>9</v>
      </c>
      <c r="E2" s="8" t="s">
        <v>39</v>
      </c>
      <c r="F2" s="8" t="s">
        <v>8</v>
      </c>
      <c r="G2" s="8" t="s">
        <v>9</v>
      </c>
      <c r="H2" s="8" t="s">
        <v>39</v>
      </c>
      <c r="I2" s="8" t="s">
        <v>8</v>
      </c>
      <c r="J2" s="8" t="s">
        <v>9</v>
      </c>
      <c r="K2" s="8" t="s">
        <v>39</v>
      </c>
    </row>
    <row r="3" spans="1:11" x14ac:dyDescent="0.4">
      <c r="A3" s="2">
        <v>45658</v>
      </c>
      <c r="B3" s="11">
        <f t="shared" ref="B3:B34" si="0">A3</f>
        <v>45658</v>
      </c>
      <c r="C3" s="9">
        <v>0.5</v>
      </c>
      <c r="D3" s="9">
        <v>0.5</v>
      </c>
      <c r="E3" s="7">
        <v>1</v>
      </c>
      <c r="F3" s="9">
        <v>0.5</v>
      </c>
      <c r="G3" s="9">
        <v>0.5</v>
      </c>
      <c r="H3" s="7">
        <v>1</v>
      </c>
      <c r="I3" s="9">
        <v>0.5</v>
      </c>
      <c r="J3" s="9">
        <v>0.5</v>
      </c>
      <c r="K3" s="7">
        <v>1</v>
      </c>
    </row>
    <row r="4" spans="1:11" x14ac:dyDescent="0.4">
      <c r="A4" s="2">
        <v>45659</v>
      </c>
      <c r="B4" s="11">
        <f t="shared" si="0"/>
        <v>45659</v>
      </c>
      <c r="C4" s="9">
        <v>0.5</v>
      </c>
      <c r="D4" s="9">
        <v>0.5</v>
      </c>
      <c r="E4" s="7">
        <f xml:space="preserve"> $C4 * Prices!$D3 + $D4 * Prices!$E3</f>
        <v>0.95500000000000007</v>
      </c>
      <c r="F4" s="9">
        <v>0.5</v>
      </c>
      <c r="G4" s="9">
        <v>0.5</v>
      </c>
      <c r="H4" s="7">
        <f xml:space="preserve"> $F4 * Prices!$D3 + $G4 * Prices!$E3</f>
        <v>0.95500000000000007</v>
      </c>
      <c r="I4" s="9">
        <v>0.5</v>
      </c>
      <c r="J4" s="9">
        <v>0.5</v>
      </c>
      <c r="K4" s="7">
        <f xml:space="preserve"> $I4 * Prices!$D3 + $J4 * Prices!$E3</f>
        <v>0.95500000000000007</v>
      </c>
    </row>
    <row r="5" spans="1:11" x14ac:dyDescent="0.4">
      <c r="A5" s="2">
        <v>45660</v>
      </c>
      <c r="B5" s="11">
        <f t="shared" si="0"/>
        <v>45660</v>
      </c>
      <c r="C5" s="9">
        <f>(C4 * Prices!D3) / $E4</f>
        <v>0.52879581151832455</v>
      </c>
      <c r="D5" s="9">
        <f>(D4 * Prices!E3) / $E4</f>
        <v>0.47120418848167539</v>
      </c>
      <c r="E5" s="7">
        <f xml:space="preserve"> $C5 * Prices!$D4 + $D5 * Prices!$E4</f>
        <v>1.0575916230366491</v>
      </c>
      <c r="F5" s="9">
        <f>(F4 * Prices!D3) / $H4</f>
        <v>0.52879581151832455</v>
      </c>
      <c r="G5" s="9">
        <f>(G4 * Prices!E3) / $H4</f>
        <v>0.47120418848167539</v>
      </c>
      <c r="H5" s="7">
        <f xml:space="preserve"> $F5 * Prices!$D4 + $G5 * Prices!$E4</f>
        <v>1.0575916230366491</v>
      </c>
      <c r="I5" s="9">
        <v>0.5</v>
      </c>
      <c r="J5" s="9">
        <v>0.5</v>
      </c>
      <c r="K5" s="7">
        <f xml:space="preserve"> $I5 * Prices!$D4 + $J5 * Prices!$E4</f>
        <v>1.0605060506050605</v>
      </c>
    </row>
    <row r="6" spans="1:11" x14ac:dyDescent="0.4">
      <c r="A6" s="2">
        <v>45661</v>
      </c>
      <c r="B6" s="11">
        <f t="shared" si="0"/>
        <v>45661</v>
      </c>
      <c r="C6" s="9">
        <f>(C5 * Prices!D4) / $E5</f>
        <v>0.50495049504950495</v>
      </c>
      <c r="D6" s="9">
        <f>(D5 * Prices!E4) / E5</f>
        <v>0.4950495049504951</v>
      </c>
      <c r="E6" s="7">
        <f xml:space="preserve"> $C6 * Prices!$D5 + $D6 * Prices!$E5</f>
        <v>0.95544554455445552</v>
      </c>
      <c r="F6" s="9">
        <f>(F5 * Prices!D4) / $H5</f>
        <v>0.50495049504950495</v>
      </c>
      <c r="G6" s="9">
        <f>(G5 * Prices!E4) / $H5</f>
        <v>0.4950495049504951</v>
      </c>
      <c r="H6" s="7">
        <f xml:space="preserve"> $F6 * Prices!$D5 + $G6 * Prices!$E5</f>
        <v>0.95544554455445552</v>
      </c>
      <c r="I6" s="9">
        <v>0.5</v>
      </c>
      <c r="J6" s="9">
        <v>0.5</v>
      </c>
      <c r="K6" s="7">
        <f xml:space="preserve"> $I6 * Prices!$D5 + $J6 * Prices!$E5</f>
        <v>0.95490196078431366</v>
      </c>
    </row>
    <row r="7" spans="1:11" x14ac:dyDescent="0.4">
      <c r="A7" s="2">
        <v>45662</v>
      </c>
      <c r="B7" s="11">
        <f t="shared" si="0"/>
        <v>45662</v>
      </c>
      <c r="C7" s="9">
        <f>(C6 * Prices!D5) / $E6</f>
        <v>0.53367875647668395</v>
      </c>
      <c r="D7" s="9">
        <f>(D6 * Prices!E5) / E6</f>
        <v>0.46632124352331611</v>
      </c>
      <c r="E7" s="7">
        <f xml:space="preserve"> $C7 * Prices!$D6 + $D7 * Prices!$E6</f>
        <v>1.0569948186528499</v>
      </c>
      <c r="F7" s="9">
        <f>(F6 * Prices!D5) / $H6</f>
        <v>0.53367875647668395</v>
      </c>
      <c r="G7" s="9">
        <f>(G6 * Prices!E5) / $H6</f>
        <v>0.46632124352331611</v>
      </c>
      <c r="H7" s="7">
        <f xml:space="preserve"> $F7 * Prices!$D6 + $G7 * Prices!$E6</f>
        <v>1.0569948186528499</v>
      </c>
      <c r="I7" s="9">
        <v>0.5</v>
      </c>
      <c r="J7" s="9">
        <v>0.5</v>
      </c>
      <c r="K7" s="7">
        <f xml:space="preserve"> $I7 * Prices!$D6 + $J7 * Prices!$E6</f>
        <v>1.0604099244875944</v>
      </c>
    </row>
    <row r="8" spans="1:11" x14ac:dyDescent="0.4">
      <c r="A8" s="2">
        <v>45663</v>
      </c>
      <c r="B8" s="12">
        <f t="shared" si="0"/>
        <v>45663</v>
      </c>
      <c r="C8" s="8">
        <v>0.5</v>
      </c>
      <c r="D8" s="8">
        <v>0.5</v>
      </c>
      <c r="E8" s="7">
        <f xml:space="preserve"> $C8 * Prices!$D7 + $D8 * Prices!$E7</f>
        <v>0.95480769230769225</v>
      </c>
      <c r="F8" s="9">
        <f>(F7 * Prices!D6) / $H7</f>
        <v>0.50980392156862742</v>
      </c>
      <c r="G8" s="9">
        <f>(G7 * Prices!E6) / $H7</f>
        <v>0.49019607843137253</v>
      </c>
      <c r="H8" s="7">
        <f xml:space="preserve"> $F8 * Prices!$D7 + $G8 * Prices!$E7</f>
        <v>0.95588235294117641</v>
      </c>
      <c r="I8" s="9">
        <v>0.5</v>
      </c>
      <c r="J8" s="9">
        <v>0.5</v>
      </c>
      <c r="K8" s="7">
        <f xml:space="preserve"> $I8 * Prices!$D7 + $J8 * Prices!$E7</f>
        <v>0.95480769230769225</v>
      </c>
    </row>
    <row r="9" spans="1:11" x14ac:dyDescent="0.4">
      <c r="A9" s="2">
        <v>45664</v>
      </c>
      <c r="B9" s="11">
        <f t="shared" si="0"/>
        <v>45664</v>
      </c>
      <c r="C9" s="9">
        <f>(C8 * Prices!D7) / $E8</f>
        <v>0.52870090634441091</v>
      </c>
      <c r="D9" s="9">
        <f>(D8 * Prices!E7) / E8</f>
        <v>0.47129909365558914</v>
      </c>
      <c r="E9" s="7">
        <f xml:space="preserve"> $C9 * Prices!$D8 + $D9 * Prices!$E8</f>
        <v>1.0574018126888218</v>
      </c>
      <c r="F9" s="9">
        <f>(F8 * Prices!D7) / $H8</f>
        <v>0.53846153846153844</v>
      </c>
      <c r="G9" s="9">
        <f>(G8 * Prices!E7) / $H8</f>
        <v>0.46153846153846156</v>
      </c>
      <c r="H9" s="7">
        <f xml:space="preserve"> $F9 * Prices!$D8 + $G9 * Prices!$E8</f>
        <v>1.0564102564102564</v>
      </c>
      <c r="I9" s="9">
        <v>0.5</v>
      </c>
      <c r="J9" s="9">
        <v>0.5</v>
      </c>
      <c r="K9" s="7">
        <f xml:space="preserve"> $I9 * Prices!$D8 + $J9 * Prices!$E8</f>
        <v>1.0603174603174603</v>
      </c>
    </row>
    <row r="10" spans="1:11" x14ac:dyDescent="0.4">
      <c r="A10" s="2">
        <v>45665</v>
      </c>
      <c r="B10" s="11">
        <f t="shared" si="0"/>
        <v>45665</v>
      </c>
      <c r="C10" s="9">
        <f>(C9 * Prices!D8) / $E9</f>
        <v>0.50476190476190474</v>
      </c>
      <c r="D10" s="9">
        <f>(D9 * Prices!E8) / E9</f>
        <v>0.4952380952380952</v>
      </c>
      <c r="E10" s="7">
        <f xml:space="preserve"> $C10 * Prices!$D9 + $D10 * Prices!$E9</f>
        <v>0.95523809523809522</v>
      </c>
      <c r="F10" s="9">
        <f>(F9 * Prices!D8) / $H9</f>
        <v>0.5145631067961165</v>
      </c>
      <c r="G10" s="9">
        <f>(G9 * Prices!E8) / $H9</f>
        <v>0.48543689320388356</v>
      </c>
      <c r="H10" s="7">
        <f xml:space="preserve"> $F10 * Prices!$D9 + $G10 * Prices!$E9</f>
        <v>0.95631067961165073</v>
      </c>
      <c r="I10" s="9">
        <v>0.5</v>
      </c>
      <c r="J10" s="9">
        <v>0.5</v>
      </c>
      <c r="K10" s="7">
        <f xml:space="preserve"> $I10 * Prices!$D9 + $J10 * Prices!$E9</f>
        <v>0.95471698113207548</v>
      </c>
    </row>
    <row r="11" spans="1:11" x14ac:dyDescent="0.4">
      <c r="A11" s="2">
        <v>45666</v>
      </c>
      <c r="B11" s="11">
        <f t="shared" si="0"/>
        <v>45666</v>
      </c>
      <c r="C11" s="9">
        <f>(C10 * Prices!D9) / $E10</f>
        <v>0.53339980059820546</v>
      </c>
      <c r="D11" s="9">
        <f>(D10 * Prices!E9) / E10</f>
        <v>0.46660019940179459</v>
      </c>
      <c r="E11" s="7">
        <f xml:space="preserve"> $C11 * Prices!$D10 + $D11 * Prices!$E10</f>
        <v>1.0568295114656032</v>
      </c>
      <c r="F11" s="9">
        <f>(F10 * Prices!D9) / $H10</f>
        <v>0.54314720812182737</v>
      </c>
      <c r="G11" s="9">
        <f>(G10 * Prices!E9) / $H10</f>
        <v>0.45685279187817257</v>
      </c>
      <c r="H11" s="7">
        <f xml:space="preserve"> $F11 * Prices!$D10 + $G11 * Prices!$E10</f>
        <v>1.0558375634517765</v>
      </c>
      <c r="I11" s="9">
        <v>0.5</v>
      </c>
      <c r="J11" s="9">
        <v>0.5</v>
      </c>
      <c r="K11" s="7">
        <f xml:space="preserve"> $I11 * Prices!$D10 + $J11 * Prices!$E10</f>
        <v>1.0602284527518173</v>
      </c>
    </row>
    <row r="12" spans="1:11" x14ac:dyDescent="0.4">
      <c r="A12" s="2">
        <v>45667</v>
      </c>
      <c r="B12" s="11">
        <f t="shared" si="0"/>
        <v>45667</v>
      </c>
      <c r="C12" s="9">
        <f>(C11 * Prices!D10) / $E11</f>
        <v>0.50943396226415094</v>
      </c>
      <c r="D12" s="9">
        <f>(D11 * Prices!E10) / E11</f>
        <v>0.49056603773584906</v>
      </c>
      <c r="E12" s="7">
        <f xml:space="preserve"> $C12 * Prices!$D11 + $D12 * Prices!$E11</f>
        <v>0.95566037735849063</v>
      </c>
      <c r="F12" s="9">
        <f>(F11 * Prices!D10) / $H11</f>
        <v>0.51923076923076916</v>
      </c>
      <c r="G12" s="9">
        <f>(G11 * Prices!E10) / $H11</f>
        <v>0.48076923076923084</v>
      </c>
      <c r="H12" s="7">
        <f xml:space="preserve"> $F12 * Prices!$D11 + $G12 * Prices!$E11</f>
        <v>0.95673076923076916</v>
      </c>
      <c r="I12" s="9">
        <v>0.5</v>
      </c>
      <c r="J12" s="9">
        <v>0.5</v>
      </c>
      <c r="K12" s="7">
        <f xml:space="preserve"> $I12 * Prices!$D11 + $J12 * Prices!$E11</f>
        <v>0.95462962962962972</v>
      </c>
    </row>
    <row r="13" spans="1:11" x14ac:dyDescent="0.4">
      <c r="A13" s="2">
        <v>45668</v>
      </c>
      <c r="B13" s="11">
        <f t="shared" si="0"/>
        <v>45668</v>
      </c>
      <c r="C13" s="9">
        <f>(C12 * Prices!D11) / $E12</f>
        <v>0.53800592300098715</v>
      </c>
      <c r="D13" s="9">
        <f>(D12 * Prices!E11) / E12</f>
        <v>0.46199407699901279</v>
      </c>
      <c r="E13" s="7">
        <f xml:space="preserve"> $C13 * Prices!$D12 + $D13 * Prices!$E12</f>
        <v>1.0562685093780848</v>
      </c>
      <c r="F13" s="9">
        <f>(F12 * Prices!D11) / $H12</f>
        <v>0.54773869346733661</v>
      </c>
      <c r="G13" s="9">
        <f>(G12 * Prices!E11) / $H12</f>
        <v>0.45226130653266344</v>
      </c>
      <c r="H13" s="7">
        <f xml:space="preserve"> $F13 * Prices!$D12 + $G13 * Prices!$E12</f>
        <v>1.0552763819095479</v>
      </c>
      <c r="I13" s="9">
        <v>0.5</v>
      </c>
      <c r="J13" s="9">
        <v>0.5</v>
      </c>
      <c r="K13" s="7">
        <f xml:space="preserve"> $I13 * Prices!$D12 + $J13 * Prices!$E12</f>
        <v>1.0601427115188584</v>
      </c>
    </row>
    <row r="14" spans="1:11" x14ac:dyDescent="0.4">
      <c r="A14" s="2">
        <v>45669</v>
      </c>
      <c r="B14" s="11">
        <f t="shared" si="0"/>
        <v>45669</v>
      </c>
      <c r="C14" s="9">
        <f>(C13 * Prices!D12) / $E13</f>
        <v>0.51401869158878499</v>
      </c>
      <c r="D14" s="9">
        <f>(D13 * Prices!E12) / E13</f>
        <v>0.48598130841121495</v>
      </c>
      <c r="E14" s="7">
        <f xml:space="preserve"> $C14 * Prices!$D13 + $D14 * Prices!$E13</f>
        <v>0.9560747663551401</v>
      </c>
      <c r="F14" s="9">
        <f>(F13 * Prices!D12) / $H13</f>
        <v>0.52380952380952372</v>
      </c>
      <c r="G14" s="9">
        <f>(G13 * Prices!E12) / $H13</f>
        <v>0.47619047619047628</v>
      </c>
      <c r="H14" s="7">
        <f xml:space="preserve"> $F14 * Prices!$D13 + $G14 * Prices!$E13</f>
        <v>0.95714285714285707</v>
      </c>
      <c r="I14" s="9">
        <v>0.5</v>
      </c>
      <c r="J14" s="9">
        <v>0.5</v>
      </c>
      <c r="K14" s="7">
        <f xml:space="preserve"> $I14 * Prices!$D13 + $J14 * Prices!$E13</f>
        <v>0.95454545454545459</v>
      </c>
    </row>
    <row r="15" spans="1:11" x14ac:dyDescent="0.4">
      <c r="A15" s="2">
        <v>45670</v>
      </c>
      <c r="B15" s="12">
        <f t="shared" si="0"/>
        <v>45670</v>
      </c>
      <c r="C15" s="8">
        <v>0.5</v>
      </c>
      <c r="D15" s="8">
        <v>0.5</v>
      </c>
      <c r="E15" s="7">
        <f xml:space="preserve"> $C15 * Prices!$D14 + $D15 * Prices!$E14</f>
        <v>1.06006006006006</v>
      </c>
      <c r="F15" s="9">
        <f>(F14 * Prices!D13) / $H14</f>
        <v>0.55223880597014918</v>
      </c>
      <c r="G15" s="9">
        <f>(G14 * Prices!E13) / $H14</f>
        <v>0.44776119402985087</v>
      </c>
      <c r="H15" s="7">
        <f xml:space="preserve"> $F15 * Prices!$D14 + $G15 * Prices!$E14</f>
        <v>1.0547263681592041</v>
      </c>
      <c r="I15" s="9">
        <v>0.5</v>
      </c>
      <c r="J15" s="9">
        <v>0.5</v>
      </c>
      <c r="K15" s="7">
        <f xml:space="preserve"> $I15 * Prices!$D14 + $J15 * Prices!$E14</f>
        <v>1.06006006006006</v>
      </c>
    </row>
    <row r="16" spans="1:11" x14ac:dyDescent="0.4">
      <c r="A16" s="2">
        <v>45671</v>
      </c>
      <c r="B16" s="11">
        <f t="shared" si="0"/>
        <v>45671</v>
      </c>
      <c r="C16" s="9">
        <f>(C15 * Prices!D14) / $E15</f>
        <v>0.47592067988668552</v>
      </c>
      <c r="D16" s="9">
        <f>(D15 * Prices!E14) / E15</f>
        <v>0.52407932011331448</v>
      </c>
      <c r="E16" s="7">
        <f xml:space="preserve"> $C16 * Prices!$D15 + $D16 * Prices!$E15</f>
        <v>0.95184135977337103</v>
      </c>
      <c r="F16" s="9">
        <f>(F15 * Prices!D14) / $H15</f>
        <v>0.52830188679245271</v>
      </c>
      <c r="G16" s="9">
        <f>(G15 * Prices!E14) / $H15</f>
        <v>0.47169811320754729</v>
      </c>
      <c r="H16" s="7">
        <f xml:space="preserve"> $F16 * Prices!$D15 + $G16 * Prices!$E15</f>
        <v>0.95754716981132071</v>
      </c>
      <c r="I16" s="9">
        <v>0.5</v>
      </c>
      <c r="J16" s="9">
        <v>0.5</v>
      </c>
      <c r="K16" s="7">
        <f xml:space="preserve"> $I16 * Prices!$D15 + $J16 * Prices!$E15</f>
        <v>0.95446428571428577</v>
      </c>
    </row>
    <row r="17" spans="1:11" x14ac:dyDescent="0.4">
      <c r="A17" s="2">
        <v>45672</v>
      </c>
      <c r="B17" s="11">
        <f t="shared" si="0"/>
        <v>45672</v>
      </c>
      <c r="C17" s="9">
        <f>(C16 * Prices!D15) / $E16</f>
        <v>0.5044642857142857</v>
      </c>
      <c r="D17" s="9">
        <f>(D16 * Prices!E15) / E16</f>
        <v>0.49553571428571436</v>
      </c>
      <c r="E17" s="7">
        <f xml:space="preserve"> $C17 * Prices!$D16 + $D17 * Prices!$E16</f>
        <v>1.0595238095238098</v>
      </c>
      <c r="F17" s="9">
        <f>(F16 * Prices!D15) / $H16</f>
        <v>0.55665024630541859</v>
      </c>
      <c r="G17" s="9">
        <f>(G16 * Prices!E15) / $H16</f>
        <v>0.44334975369458146</v>
      </c>
      <c r="H17" s="7">
        <f xml:space="preserve"> $F17 * Prices!$D16 + $G17 * Prices!$E16</f>
        <v>1.0541871921182266</v>
      </c>
      <c r="I17" s="9">
        <v>0.5</v>
      </c>
      <c r="J17" s="9">
        <v>0.5</v>
      </c>
      <c r="K17" s="7">
        <f xml:space="preserve"> $I17 * Prices!$D16 + $J17 * Prices!$E16</f>
        <v>1.0599803343166174</v>
      </c>
    </row>
    <row r="18" spans="1:11" x14ac:dyDescent="0.4">
      <c r="A18" s="2">
        <v>45673</v>
      </c>
      <c r="B18" s="11">
        <f t="shared" si="0"/>
        <v>45673</v>
      </c>
      <c r="C18" s="9">
        <f>(C17 * Prices!D16) / $E17</f>
        <v>0.48033707865168523</v>
      </c>
      <c r="D18" s="9">
        <f>(D17 * Prices!E16) / E17</f>
        <v>0.5196629213483146</v>
      </c>
      <c r="E18" s="7">
        <f xml:space="preserve"> $C18 * Prices!$D17 + $D18 * Prices!$E17</f>
        <v>0.95224719101123578</v>
      </c>
      <c r="F18" s="9">
        <f>(F17 * Prices!D16) / $H17</f>
        <v>0.53271028037383161</v>
      </c>
      <c r="G18" s="9">
        <f>(G17 * Prices!E16) / $H17</f>
        <v>0.46728971962616844</v>
      </c>
      <c r="H18" s="7">
        <f xml:space="preserve"> $F18 * Prices!$D17 + $G18 * Prices!$E17</f>
        <v>0.95794392523364502</v>
      </c>
      <c r="I18" s="9">
        <v>0.5</v>
      </c>
      <c r="J18" s="9">
        <v>0.5</v>
      </c>
      <c r="K18" s="7">
        <f xml:space="preserve"> $I18 * Prices!$D17 + $J18 * Prices!$E17</f>
        <v>0.95438596491228078</v>
      </c>
    </row>
    <row r="19" spans="1:11" x14ac:dyDescent="0.4">
      <c r="A19" s="2">
        <v>45674</v>
      </c>
      <c r="B19" s="11">
        <f t="shared" si="0"/>
        <v>45674</v>
      </c>
      <c r="C19" s="9">
        <f>(C18 * Prices!D17) / $E18</f>
        <v>0.50884955752212391</v>
      </c>
      <c r="D19" s="9">
        <f>(D18 * Prices!E17) / E18</f>
        <v>0.4911504424778762</v>
      </c>
      <c r="E19" s="7">
        <f xml:space="preserve"> $C19 * Prices!$D18 + $D19 * Prices!$E18</f>
        <v>1.0589970501474928</v>
      </c>
      <c r="F19" s="9">
        <f>(F18 * Prices!D17) / $H18</f>
        <v>0.56097560975609739</v>
      </c>
      <c r="G19" s="9">
        <f>(G18 * Prices!E17) / $H18</f>
        <v>0.43902439024390261</v>
      </c>
      <c r="H19" s="7">
        <f xml:space="preserve"> $F19 * Prices!$D18 + $G19 * Prices!$E18</f>
        <v>1.0536585365853659</v>
      </c>
      <c r="I19" s="9">
        <v>0.5</v>
      </c>
      <c r="J19" s="9">
        <v>0.5</v>
      </c>
      <c r="K19" s="7">
        <f xml:space="preserve"> $I19 * Prices!$D18 + $J19 * Prices!$E18</f>
        <v>1.0599033816425121</v>
      </c>
    </row>
    <row r="20" spans="1:11" x14ac:dyDescent="0.4">
      <c r="A20" s="2">
        <v>45675</v>
      </c>
      <c r="B20" s="11">
        <f t="shared" si="0"/>
        <v>45675</v>
      </c>
      <c r="C20" s="9">
        <f>(C19 * Prices!D18) / $E19</f>
        <v>0.48467966573816151</v>
      </c>
      <c r="D20" s="9">
        <f>(D19 * Prices!E18) / E19</f>
        <v>0.51532033426183854</v>
      </c>
      <c r="E20" s="7">
        <f xml:space="preserve"> $C20 * Prices!$D19 + $D20 * Prices!$E19</f>
        <v>0.9526462395543176</v>
      </c>
      <c r="F20" s="9">
        <f>(F19 * Prices!D18) / $H19</f>
        <v>0.53703703703703687</v>
      </c>
      <c r="G20" s="9">
        <f>(G19 * Prices!E18) / $H19</f>
        <v>0.46296296296296313</v>
      </c>
      <c r="H20" s="7">
        <f xml:space="preserve"> $F20 * Prices!$D19 + $G20 * Prices!$E19</f>
        <v>0.95833333333333337</v>
      </c>
      <c r="I20" s="9">
        <v>0.5</v>
      </c>
      <c r="J20" s="9">
        <v>0.5</v>
      </c>
      <c r="K20" s="7">
        <f xml:space="preserve"> $I20 * Prices!$D19 + $J20 * Prices!$E19</f>
        <v>0.95431034482758625</v>
      </c>
    </row>
    <row r="21" spans="1:11" x14ac:dyDescent="0.4">
      <c r="A21" s="2">
        <v>45676</v>
      </c>
      <c r="B21" s="11">
        <f t="shared" si="0"/>
        <v>45676</v>
      </c>
      <c r="C21" s="9">
        <f>(C20 * Prices!D19) / $E20</f>
        <v>0.51315789473684204</v>
      </c>
      <c r="D21" s="9">
        <f>(D20 * Prices!E19) / E20</f>
        <v>0.48684210526315796</v>
      </c>
      <c r="E21" s="7">
        <f xml:space="preserve"> $C21 * Prices!$D20 + $D21 * Prices!$E20</f>
        <v>1.0584795321637426</v>
      </c>
      <c r="F21" s="9">
        <f>(F20 * Prices!D19) / $H20</f>
        <v>0.56521739130434767</v>
      </c>
      <c r="G21" s="9">
        <f>(G20 * Prices!E19) / $H20</f>
        <v>0.43478260869565233</v>
      </c>
      <c r="H21" s="7">
        <f xml:space="preserve"> $F21 * Prices!$D20 + $G21 * Prices!$E20</f>
        <v>1.0531400966183575</v>
      </c>
      <c r="I21" s="9">
        <v>0.5</v>
      </c>
      <c r="J21" s="9">
        <v>0.5</v>
      </c>
      <c r="K21" s="7">
        <f xml:space="preserve"> $I21 * Prices!$D20 + $J21 * Prices!$E20</f>
        <v>1.0598290598290598</v>
      </c>
    </row>
    <row r="22" spans="1:11" x14ac:dyDescent="0.4">
      <c r="A22" s="2">
        <v>45677</v>
      </c>
      <c r="B22" s="12">
        <f t="shared" si="0"/>
        <v>45677</v>
      </c>
      <c r="C22" s="8">
        <v>0.5</v>
      </c>
      <c r="D22" s="8">
        <v>0.5</v>
      </c>
      <c r="E22" s="7">
        <f xml:space="preserve"> $C22 * Prices!$D21 + $D22 * Prices!$E21</f>
        <v>0.95423728813559316</v>
      </c>
      <c r="F22" s="9">
        <f>(F21 * Prices!D20) / $H21</f>
        <v>0.54128440366972463</v>
      </c>
      <c r="G22" s="9">
        <f>(G21 * Prices!E20) / $H21</f>
        <v>0.45871559633027542</v>
      </c>
      <c r="H22" s="7">
        <f xml:space="preserve"> $F22 * Prices!$D21 + $G22 * Prices!$E21</f>
        <v>0.95871559633027525</v>
      </c>
      <c r="I22" s="9">
        <v>0.5</v>
      </c>
      <c r="J22" s="9">
        <v>0.5</v>
      </c>
      <c r="K22" s="7">
        <f xml:space="preserve"> $I22 * Prices!$D21 + $J22 * Prices!$E21</f>
        <v>0.95423728813559316</v>
      </c>
    </row>
    <row r="23" spans="1:11" x14ac:dyDescent="0.4">
      <c r="A23" s="2">
        <v>45678</v>
      </c>
      <c r="B23" s="11">
        <f t="shared" si="0"/>
        <v>45678</v>
      </c>
      <c r="C23" s="9">
        <f>(C22 * Prices!D21) / $E22</f>
        <v>0.52841918294849022</v>
      </c>
      <c r="D23" s="9">
        <f>(D22 * Prices!E21) / E22</f>
        <v>0.47158081705150978</v>
      </c>
      <c r="E23" s="7">
        <f xml:space="preserve"> $C23 * Prices!$D22 + $D23 * Prices!$E22</f>
        <v>1.0568383658969807</v>
      </c>
      <c r="F23" s="9">
        <f>(F22 * Prices!D21) / $H22</f>
        <v>0.56937799043062187</v>
      </c>
      <c r="G23" s="9">
        <f>(G22 * Prices!E21) / $H22</f>
        <v>0.43062200956937818</v>
      </c>
      <c r="H23" s="7">
        <f xml:space="preserve"> $F23 * Prices!$D22 + $G23 * Prices!$E22</f>
        <v>1.0526315789473686</v>
      </c>
      <c r="I23" s="9">
        <v>0.5</v>
      </c>
      <c r="J23" s="9">
        <v>0.5</v>
      </c>
      <c r="K23" s="7">
        <f xml:space="preserve"> $I23 * Prices!$D22 + $J23 * Prices!$E22</f>
        <v>1.0597572362278245</v>
      </c>
    </row>
    <row r="24" spans="1:11" x14ac:dyDescent="0.4">
      <c r="A24" s="2">
        <v>45679</v>
      </c>
      <c r="B24" s="11">
        <f t="shared" si="0"/>
        <v>45679</v>
      </c>
      <c r="C24" s="9">
        <f>(C23 * Prices!D22) / $E23</f>
        <v>0.50420168067226878</v>
      </c>
      <c r="D24" s="9">
        <f>(D23 * Prices!E22) / E23</f>
        <v>0.49579831932773105</v>
      </c>
      <c r="E24" s="7">
        <f xml:space="preserve"> $C24 * Prices!$D23 + $D24 * Prices!$E23</f>
        <v>0.95462184873949563</v>
      </c>
      <c r="F24" s="9">
        <f>(F23 * Prices!D22) / $H23</f>
        <v>0.5454545454545453</v>
      </c>
      <c r="G24" s="9">
        <f>(G23 * Prices!E22) / $H23</f>
        <v>0.4545454545454547</v>
      </c>
      <c r="H24" s="7">
        <f xml:space="preserve"> $F24 * Prices!$D23 + $G24 * Prices!$E23</f>
        <v>0.95909090909090899</v>
      </c>
      <c r="I24" s="9">
        <v>0.5</v>
      </c>
      <c r="J24" s="9">
        <v>0.5</v>
      </c>
      <c r="K24" s="7">
        <f xml:space="preserve"> $I24 * Prices!$D23 + $J24 * Prices!$E23</f>
        <v>0.95416666666666661</v>
      </c>
    </row>
    <row r="25" spans="1:11" x14ac:dyDescent="0.4">
      <c r="A25" s="2">
        <v>45680</v>
      </c>
      <c r="B25" s="11">
        <f t="shared" si="0"/>
        <v>45680</v>
      </c>
      <c r="C25" s="9">
        <f>(C24 * Prices!D23) / $E24</f>
        <v>0.53257042253521125</v>
      </c>
      <c r="D25" s="9">
        <f>(D24 * Prices!E23) / E24</f>
        <v>0.4674295774647888</v>
      </c>
      <c r="E25" s="7">
        <f xml:space="preserve"> $C25 * Prices!$D24 + $D25 * Prices!$E24</f>
        <v>1.0563380281690142</v>
      </c>
      <c r="F25" s="9">
        <f>(F24 * Prices!D23) / $H24</f>
        <v>0.57345971563981035</v>
      </c>
      <c r="G25" s="9">
        <f>(G24 * Prices!E23) / $H24</f>
        <v>0.42654028436018976</v>
      </c>
      <c r="H25" s="7">
        <f xml:space="preserve"> $F25 * Prices!$D24 + $G25 * Prices!$E24</f>
        <v>1.0521327014218009</v>
      </c>
      <c r="I25" s="9">
        <v>0.5</v>
      </c>
      <c r="J25" s="9">
        <v>0.5</v>
      </c>
      <c r="K25" s="7">
        <f xml:space="preserve"> $I25 * Prices!$D24 + $J25 * Prices!$E24</f>
        <v>1.0596877869605144</v>
      </c>
    </row>
    <row r="26" spans="1:11" x14ac:dyDescent="0.4">
      <c r="A26" s="2">
        <v>45681</v>
      </c>
      <c r="B26" s="11">
        <f t="shared" si="0"/>
        <v>45681</v>
      </c>
      <c r="C26" s="9">
        <f>(C25 * Prices!D24) / $E25</f>
        <v>0.5083333333333333</v>
      </c>
      <c r="D26" s="9">
        <f>(D25 * Prices!E24) / E25</f>
        <v>0.49166666666666675</v>
      </c>
      <c r="E26" s="7">
        <f xml:space="preserve"> $C26 * Prices!$D25 + $D26 * Prices!$E25</f>
        <v>0.95500000000000007</v>
      </c>
      <c r="F26" s="9">
        <f>(F25 * Prices!D24) / $H25</f>
        <v>0.54954954954954938</v>
      </c>
      <c r="G26" s="9">
        <f>(G25 * Prices!E24) / $H25</f>
        <v>0.45045045045045068</v>
      </c>
      <c r="H26" s="7">
        <f xml:space="preserve"> $F26 * Prices!$D25 + $G26 * Prices!$E25</f>
        <v>0.95945945945945943</v>
      </c>
      <c r="I26" s="9">
        <v>0.5</v>
      </c>
      <c r="J26" s="9">
        <v>0.5</v>
      </c>
      <c r="K26" s="7">
        <f xml:space="preserve"> $I26 * Prices!$D25 + $J26 * Prices!$E25</f>
        <v>0.95409836065573761</v>
      </c>
    </row>
    <row r="27" spans="1:11" x14ac:dyDescent="0.4">
      <c r="A27" s="2">
        <v>45682</v>
      </c>
      <c r="B27" s="11">
        <f t="shared" si="0"/>
        <v>45682</v>
      </c>
      <c r="C27" s="9">
        <f>(C26 * Prices!D25) / $E26</f>
        <v>0.53664921465968574</v>
      </c>
      <c r="D27" s="9">
        <f>(D26 * Prices!E25) / E26</f>
        <v>0.46335078534031415</v>
      </c>
      <c r="E27" s="7">
        <f xml:space="preserve"> $C27 * Prices!$D26 + $D27 * Prices!$E26</f>
        <v>1.0558464223385688</v>
      </c>
      <c r="F27" s="9">
        <f>(F26 * Prices!D25) / $H26</f>
        <v>0.57746478873239415</v>
      </c>
      <c r="G27" s="9">
        <f>(G26 * Prices!E25) / $H26</f>
        <v>0.42253521126760585</v>
      </c>
      <c r="H27" s="7">
        <f xml:space="preserve"> $F27 * Prices!$D26 + $G27 * Prices!$E26</f>
        <v>1.051643192488263</v>
      </c>
      <c r="I27" s="9">
        <v>0.5</v>
      </c>
      <c r="J27" s="9">
        <v>0.5</v>
      </c>
      <c r="K27" s="7">
        <f xml:space="preserve"> $I27 * Prices!$D26 + $J27 * Prices!$E26</f>
        <v>1.0596205962059622</v>
      </c>
    </row>
    <row r="28" spans="1:11" x14ac:dyDescent="0.4">
      <c r="A28" s="2">
        <v>45683</v>
      </c>
      <c r="B28" s="11">
        <f t="shared" si="0"/>
        <v>45683</v>
      </c>
      <c r="C28" s="9">
        <f>(C27 * Prices!D26) / $E27</f>
        <v>0.51239669421487588</v>
      </c>
      <c r="D28" s="9">
        <f>(D27 * Prices!E26) / E27</f>
        <v>0.48760330578512406</v>
      </c>
      <c r="E28" s="7">
        <f xml:space="preserve"> $C28 * Prices!$D27 + $D28 * Prices!$E27</f>
        <v>0.95537190082644619</v>
      </c>
      <c r="F28" s="9">
        <f>(F27 * Prices!D26) / $H27</f>
        <v>0.55357142857142827</v>
      </c>
      <c r="G28" s="9">
        <f>(G27 * Prices!E26) / $H27</f>
        <v>0.44642857142857167</v>
      </c>
      <c r="H28" s="7">
        <f xml:space="preserve"> $F28 * Prices!$D27 + $G28 * Prices!$E27</f>
        <v>0.95982142857142849</v>
      </c>
      <c r="I28" s="9">
        <v>0.5</v>
      </c>
      <c r="J28" s="9">
        <v>0.5</v>
      </c>
      <c r="K28" s="7">
        <f xml:space="preserve"> $I28 * Prices!$D27 + $J28 * Prices!$E27</f>
        <v>0.95403225806451619</v>
      </c>
    </row>
    <row r="29" spans="1:11" x14ac:dyDescent="0.4">
      <c r="A29" s="2">
        <v>45684</v>
      </c>
      <c r="B29" s="12">
        <f t="shared" si="0"/>
        <v>45684</v>
      </c>
      <c r="C29" s="8">
        <v>0.5</v>
      </c>
      <c r="D29" s="8">
        <v>0.5</v>
      </c>
      <c r="E29" s="7">
        <f xml:space="preserve"> $C29 * Prices!$D28 + $D29 * Prices!$E28</f>
        <v>1.0595555555555556</v>
      </c>
      <c r="F29" s="9">
        <f>(F28 * Prices!D27) / $H28</f>
        <v>0.581395348837209</v>
      </c>
      <c r="G29" s="9">
        <f>(G28 * Prices!E27) / $H28</f>
        <v>0.418604651162791</v>
      </c>
      <c r="H29" s="7">
        <f xml:space="preserve"> $F29 * Prices!$D28 + $G29 * Prices!$E28</f>
        <v>1.0511627906976744</v>
      </c>
      <c r="I29" s="9">
        <v>0.5</v>
      </c>
      <c r="J29" s="9">
        <v>0.5</v>
      </c>
      <c r="K29" s="7">
        <f xml:space="preserve"> $I29 * Prices!$D28 + $J29 * Prices!$E28</f>
        <v>1.0595555555555556</v>
      </c>
    </row>
    <row r="30" spans="1:11" x14ac:dyDescent="0.4">
      <c r="A30" s="2">
        <v>45685</v>
      </c>
      <c r="B30" s="11">
        <f t="shared" si="0"/>
        <v>45685</v>
      </c>
      <c r="C30" s="9">
        <f>(C29 * Prices!D28) / $E29</f>
        <v>0.47567114093959728</v>
      </c>
      <c r="D30" s="9">
        <f>(D29 * Prices!E28) / E29</f>
        <v>0.52432885906040272</v>
      </c>
      <c r="E30" s="7">
        <f xml:space="preserve"> $C30 * Prices!$D29 + $D30 * Prices!$E29</f>
        <v>0.95134228187919456</v>
      </c>
      <c r="F30" s="9">
        <f>(F29 * Prices!D28) / $H29</f>
        <v>0.55752212389380507</v>
      </c>
      <c r="G30" s="9">
        <f>(G29 * Prices!E28) / $H29</f>
        <v>0.44247787610619504</v>
      </c>
      <c r="H30" s="7">
        <f xml:space="preserve"> $F30 * Prices!$D29 + $G30 * Prices!$E29</f>
        <v>0.96017699115044253</v>
      </c>
      <c r="I30" s="9">
        <v>0.5</v>
      </c>
      <c r="J30" s="9">
        <v>0.5</v>
      </c>
      <c r="K30" s="7">
        <f xml:space="preserve"> $I30 * Prices!$D29 + $J30 * Prices!$E29</f>
        <v>0.95396825396825391</v>
      </c>
    </row>
    <row r="31" spans="1:11" x14ac:dyDescent="0.4">
      <c r="A31" s="2">
        <v>45686</v>
      </c>
      <c r="B31" s="11">
        <f t="shared" si="0"/>
        <v>45686</v>
      </c>
      <c r="C31" s="9">
        <f>(C30 * Prices!D29) / $E30</f>
        <v>0.50396825396825395</v>
      </c>
      <c r="D31" s="9">
        <f>(D30 * Prices!E29) / E30</f>
        <v>0.4960317460317461</v>
      </c>
      <c r="E31" s="7">
        <f xml:space="preserve"> $C31 * Prices!$D30 + $D31 * Prices!$E30</f>
        <v>1.0590828924162259</v>
      </c>
      <c r="F31" s="9">
        <f>(F30 * Prices!D29) / $H30</f>
        <v>0.58525345622119784</v>
      </c>
      <c r="G31" s="9">
        <f>(G30 * Prices!E29) / $H30</f>
        <v>0.41474654377880216</v>
      </c>
      <c r="H31" s="7">
        <f xml:space="preserve"> $F31 * Prices!$D30 + $G31 * Prices!$E30</f>
        <v>1.0506912442396314</v>
      </c>
      <c r="I31" s="9">
        <v>0.5</v>
      </c>
      <c r="J31" s="9">
        <v>0.5</v>
      </c>
      <c r="K31" s="7">
        <f xml:space="preserve"> $I31 * Prices!$D30 + $J31 * Prices!$E30</f>
        <v>1.0594925634295713</v>
      </c>
    </row>
    <row r="32" spans="1:11" x14ac:dyDescent="0.4">
      <c r="A32" s="2">
        <v>45687</v>
      </c>
      <c r="B32" s="11">
        <f t="shared" si="0"/>
        <v>45687</v>
      </c>
      <c r="C32" s="9">
        <f>(C31 * Prices!D30) / $E31</f>
        <v>0.47960033305578675</v>
      </c>
      <c r="D32" s="9">
        <f>(D31 * Prices!E30) / E31</f>
        <v>0.52039966694421314</v>
      </c>
      <c r="E32" s="7">
        <f xml:space="preserve"> $C32 * Prices!$D31 + $D32 * Prices!$E31</f>
        <v>0.95170691090757686</v>
      </c>
      <c r="F32" s="9">
        <f>(F31 * Prices!D30) / $H31</f>
        <v>0.56140350877192946</v>
      </c>
      <c r="G32" s="9">
        <f>(G31 * Prices!E30) / $H31</f>
        <v>0.43859649122807048</v>
      </c>
      <c r="H32" s="7">
        <f xml:space="preserve"> $F32 * Prices!$D31 + $G32 * Prices!$E31</f>
        <v>0.96052631578947367</v>
      </c>
      <c r="I32" s="9">
        <v>0.5</v>
      </c>
      <c r="J32" s="9">
        <v>0.5</v>
      </c>
      <c r="K32" s="7">
        <f xml:space="preserve"> $I32 * Prices!$D31 + $J32 * Prices!$E31</f>
        <v>0.95390624999999996</v>
      </c>
    </row>
    <row r="33" spans="1:11" x14ac:dyDescent="0.4">
      <c r="A33" s="2">
        <v>45688</v>
      </c>
      <c r="B33" s="11">
        <f t="shared" si="0"/>
        <v>45688</v>
      </c>
      <c r="C33" s="9">
        <f>(C32 * Prices!D31) / $E32</f>
        <v>0.50787401574803148</v>
      </c>
      <c r="D33" s="9">
        <f>(D32 * Prices!E31) / E32</f>
        <v>0.49212598425196857</v>
      </c>
      <c r="E33" s="7">
        <f xml:space="preserve"> $C33 * Prices!$D32 + $D33 * Prices!$E32</f>
        <v>1.0586176727909011</v>
      </c>
      <c r="F33" s="9">
        <f>(F32 * Prices!D31) / $H32</f>
        <v>0.58904109589041065</v>
      </c>
      <c r="G33" s="9">
        <f>(G32 * Prices!E31) / $H32</f>
        <v>0.41095890410958935</v>
      </c>
      <c r="H33" s="7">
        <f xml:space="preserve"> $F33 * Prices!$D32 + $G33 * Prices!$E32</f>
        <v>1.0502283105022832</v>
      </c>
      <c r="I33" s="9">
        <v>0.5</v>
      </c>
      <c r="J33" s="9">
        <v>0.5</v>
      </c>
      <c r="K33" s="7">
        <f xml:space="preserve"> $I33 * Prices!$D32 + $J33 * Prices!$E32</f>
        <v>1.0594315245478036</v>
      </c>
    </row>
    <row r="34" spans="1:11" x14ac:dyDescent="0.4">
      <c r="A34" s="2">
        <v>45689</v>
      </c>
      <c r="B34" s="11">
        <f t="shared" si="0"/>
        <v>45689</v>
      </c>
      <c r="C34" s="9">
        <f>(C33 * Prices!D32) / $E33</f>
        <v>0.48347107438016529</v>
      </c>
      <c r="D34" s="9">
        <f>(D33 * Prices!E32) / E33</f>
        <v>0.51652892561983488</v>
      </c>
      <c r="E34" s="7">
        <f xml:space="preserve"> $C34 * Prices!$D33 + $D34 * Prices!$E33</f>
        <v>0.95206611570247945</v>
      </c>
      <c r="F34" s="8">
        <v>0.5</v>
      </c>
      <c r="G34" s="8">
        <v>0.5</v>
      </c>
      <c r="H34" s="7">
        <f xml:space="preserve"> $F34 * Prices!$D33 + $G34 * Prices!$E33</f>
        <v>0.95384615384615379</v>
      </c>
      <c r="I34" s="9">
        <v>0.5</v>
      </c>
      <c r="J34" s="9">
        <v>0.5</v>
      </c>
      <c r="K34" s="7">
        <f xml:space="preserve"> $I34 * Prices!$D33 + $J34 * Prices!$E33</f>
        <v>0.95384615384615379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E8070-11EC-4D5B-882F-63D06BDC939E}">
  <dimension ref="A1:D33"/>
  <sheetViews>
    <sheetView zoomScale="205" zoomScaleNormal="205" workbookViewId="0">
      <selection activeCell="D3" sqref="D3:D33"/>
    </sheetView>
  </sheetViews>
  <sheetFormatPr defaultRowHeight="14.6" x14ac:dyDescent="0.4"/>
  <cols>
    <col min="1" max="1" width="10.07421875" bestFit="1" customWidth="1"/>
    <col min="2" max="4" width="9.23046875" style="7"/>
  </cols>
  <sheetData>
    <row r="1" spans="1:4" x14ac:dyDescent="0.4">
      <c r="A1" s="1" t="s">
        <v>13</v>
      </c>
      <c r="B1" s="6" t="s">
        <v>14</v>
      </c>
      <c r="C1" s="6" t="s">
        <v>15</v>
      </c>
      <c r="D1" s="6" t="s">
        <v>45</v>
      </c>
    </row>
    <row r="2" spans="1:4" x14ac:dyDescent="0.4">
      <c r="A2" s="2">
        <v>45658</v>
      </c>
      <c r="B2" s="7">
        <v>1</v>
      </c>
      <c r="C2" s="7">
        <v>1</v>
      </c>
      <c r="D2" s="7">
        <v>1</v>
      </c>
    </row>
    <row r="3" spans="1:4" x14ac:dyDescent="0.4">
      <c r="A3" s="2">
        <v>45659</v>
      </c>
      <c r="B3" s="7">
        <f>B2 * Expected_Weights!E4</f>
        <v>0.95500000000000007</v>
      </c>
      <c r="C3" s="7">
        <f>C2 * Expected_Weights!H4</f>
        <v>0.95500000000000007</v>
      </c>
      <c r="D3" s="7">
        <f>D2 * Expected_Weights!K4</f>
        <v>0.95500000000000007</v>
      </c>
    </row>
    <row r="4" spans="1:4" x14ac:dyDescent="0.4">
      <c r="A4" s="2">
        <v>45660</v>
      </c>
      <c r="B4" s="7">
        <f>B3 * Expected_Weights!E5</f>
        <v>1.01</v>
      </c>
      <c r="C4" s="7">
        <f>C3 * Expected_Weights!H5</f>
        <v>1.01</v>
      </c>
      <c r="D4" s="7">
        <f>D3 * Expected_Weights!K5</f>
        <v>1.012783278327833</v>
      </c>
    </row>
    <row r="5" spans="1:4" x14ac:dyDescent="0.4">
      <c r="A5" s="2">
        <v>45661</v>
      </c>
      <c r="B5" s="7">
        <f>B4 * Expected_Weights!E6</f>
        <v>0.96500000000000008</v>
      </c>
      <c r="C5" s="7">
        <f>C4 * Expected_Weights!H6</f>
        <v>0.96500000000000008</v>
      </c>
      <c r="D5" s="7">
        <f>D4 * Expected_Weights!K6</f>
        <v>0.96710873832481303</v>
      </c>
    </row>
    <row r="6" spans="1:4" x14ac:dyDescent="0.4">
      <c r="A6" s="2">
        <v>45662</v>
      </c>
      <c r="B6" s="7">
        <f>B5 * Expected_Weights!E7</f>
        <v>1.0200000000000002</v>
      </c>
      <c r="C6" s="7">
        <f>C5 * Expected_Weights!H7</f>
        <v>1.0200000000000002</v>
      </c>
      <c r="D6" s="7">
        <f>D5 * Expected_Weights!K7</f>
        <v>1.0255317041783076</v>
      </c>
    </row>
    <row r="7" spans="1:4" x14ac:dyDescent="0.4">
      <c r="A7" s="2">
        <v>45663</v>
      </c>
      <c r="B7" s="7">
        <f>B6 * Expected_Weights!E8</f>
        <v>0.97390384615384629</v>
      </c>
      <c r="C7" s="7">
        <f>C6 * Expected_Weights!H8</f>
        <v>0.9750000000000002</v>
      </c>
      <c r="D7" s="7">
        <f>D6 * Expected_Weights!K8</f>
        <v>0.97918555985486477</v>
      </c>
    </row>
    <row r="8" spans="1:4" x14ac:dyDescent="0.4">
      <c r="A8" s="2">
        <v>45664</v>
      </c>
      <c r="B8" s="7">
        <f>B7 * Expected_Weights!E9</f>
        <v>1.0298076923076924</v>
      </c>
      <c r="C8" s="7">
        <f>C7 * Expected_Weights!H9</f>
        <v>1.0300000000000002</v>
      </c>
      <c r="D8" s="7">
        <f>D7 * Expected_Weights!K9</f>
        <v>1.0382475460048408</v>
      </c>
    </row>
    <row r="9" spans="1:4" x14ac:dyDescent="0.4">
      <c r="A9" s="2">
        <v>45665</v>
      </c>
      <c r="B9" s="7">
        <f>B8 * Expected_Weights!E10</f>
        <v>0.98371153846153858</v>
      </c>
      <c r="C9" s="7">
        <f>C8 * Expected_Weights!H10</f>
        <v>0.98500000000000054</v>
      </c>
      <c r="D9" s="7">
        <f>D8 * Expected_Weights!K10</f>
        <v>0.99123256278952732</v>
      </c>
    </row>
    <row r="10" spans="1:4" x14ac:dyDescent="0.4">
      <c r="A10" s="2">
        <v>45666</v>
      </c>
      <c r="B10" s="7">
        <f>B9 * Expected_Weights!E11</f>
        <v>1.0396153846153848</v>
      </c>
      <c r="C10" s="7">
        <f>C9 * Expected_Weights!H11</f>
        <v>1.0400000000000005</v>
      </c>
      <c r="D10" s="7">
        <f>D9 * Expected_Weights!K11</f>
        <v>1.0509329663635592</v>
      </c>
    </row>
    <row r="11" spans="1:4" x14ac:dyDescent="0.4">
      <c r="A11" s="2">
        <v>45667</v>
      </c>
      <c r="B11" s="7">
        <f>B10 * Expected_Weights!E12</f>
        <v>0.99351923076923099</v>
      </c>
      <c r="C11" s="7">
        <f>C10 * Expected_Weights!H12</f>
        <v>0.99500000000000044</v>
      </c>
      <c r="D11" s="7">
        <f>D10 * Expected_Weights!K12</f>
        <v>1.0032517484452126</v>
      </c>
    </row>
    <row r="12" spans="1:4" x14ac:dyDescent="0.4">
      <c r="A12" s="2">
        <v>45668</v>
      </c>
      <c r="B12" s="7">
        <f>B11 * Expected_Weights!E13</f>
        <v>1.049423076923077</v>
      </c>
      <c r="C12" s="7">
        <f>C11 * Expected_Weights!H13</f>
        <v>1.0500000000000005</v>
      </c>
      <c r="D12" s="7">
        <f>D11 * Expected_Weights!K13</f>
        <v>1.0635900289327433</v>
      </c>
    </row>
    <row r="13" spans="1:4" x14ac:dyDescent="0.4">
      <c r="A13" s="2">
        <v>45669</v>
      </c>
      <c r="B13" s="7">
        <f>B12 * Expected_Weights!E14</f>
        <v>1.0033269230769231</v>
      </c>
      <c r="C13" s="7">
        <f>C12 * Expected_Weights!H14</f>
        <v>1.0050000000000003</v>
      </c>
      <c r="D13" s="7">
        <f>D12 * Expected_Weights!K14</f>
        <v>1.0152450276176186</v>
      </c>
    </row>
    <row r="14" spans="1:4" x14ac:dyDescent="0.4">
      <c r="A14" s="2">
        <v>45670</v>
      </c>
      <c r="B14" s="7">
        <f>B13 * Expected_Weights!E15</f>
        <v>1.0635867983367984</v>
      </c>
      <c r="C14" s="7">
        <f>C13 * Expected_Weights!H15</f>
        <v>1.0600000000000005</v>
      </c>
      <c r="D14" s="7">
        <f>D13 * Expected_Weights!K15</f>
        <v>1.0762207049520101</v>
      </c>
    </row>
    <row r="15" spans="1:4" x14ac:dyDescent="0.4">
      <c r="A15" s="2">
        <v>45671</v>
      </c>
      <c r="B15" s="7">
        <f>B14 * Expected_Weights!E16</f>
        <v>1.0123659043659043</v>
      </c>
      <c r="C15" s="7">
        <f>C14 * Expected_Weights!H16</f>
        <v>1.0150000000000003</v>
      </c>
      <c r="D15" s="7">
        <f>D14 * Expected_Weights!K16</f>
        <v>1.0272142264229454</v>
      </c>
    </row>
    <row r="16" spans="1:4" x14ac:dyDescent="0.4">
      <c r="A16" s="2">
        <v>45672</v>
      </c>
      <c r="B16" s="7">
        <f>B15 * Expected_Weights!E17</f>
        <v>1.0726257796257799</v>
      </c>
      <c r="C16" s="7">
        <f>C15 * Expected_Weights!H17</f>
        <v>1.0700000000000005</v>
      </c>
      <c r="D16" s="7">
        <f>D15 * Expected_Weights!K17</f>
        <v>1.0888268791385791</v>
      </c>
    </row>
    <row r="17" spans="1:4" x14ac:dyDescent="0.4">
      <c r="A17" s="2">
        <v>45673</v>
      </c>
      <c r="B17" s="7">
        <f>B16 * Expected_Weights!E18</f>
        <v>1.0214048856548856</v>
      </c>
      <c r="C17" s="7">
        <f>C16 * Expected_Weights!H18</f>
        <v>1.0250000000000006</v>
      </c>
      <c r="D17" s="7">
        <f>D16 * Expected_Weights!K18</f>
        <v>1.0391610916691001</v>
      </c>
    </row>
    <row r="18" spans="1:4" x14ac:dyDescent="0.4">
      <c r="A18" s="2">
        <v>45674</v>
      </c>
      <c r="B18" s="7">
        <f>B17 * Expected_Weights!E19</f>
        <v>1.0816647609147612</v>
      </c>
      <c r="C18" s="7">
        <f>C17 * Expected_Weights!H19</f>
        <v>1.0800000000000007</v>
      </c>
      <c r="D18" s="7">
        <f>D17 * Expected_Weights!K19</f>
        <v>1.1014103551314036</v>
      </c>
    </row>
    <row r="19" spans="1:4" x14ac:dyDescent="0.4">
      <c r="A19" s="2">
        <v>45675</v>
      </c>
      <c r="B19" s="7">
        <f>B18 * Expected_Weights!E20</f>
        <v>1.0304438669438671</v>
      </c>
      <c r="C19" s="7">
        <f>C18 * Expected_Weights!H20</f>
        <v>1.0350000000000008</v>
      </c>
      <c r="D19" s="7">
        <f>D18 * Expected_Weights!K20</f>
        <v>1.051087295802124</v>
      </c>
    </row>
    <row r="20" spans="1:4" x14ac:dyDescent="0.4">
      <c r="A20" s="2">
        <v>45676</v>
      </c>
      <c r="B20" s="7">
        <f>B19 * Expected_Weights!E21</f>
        <v>1.0907037422037422</v>
      </c>
      <c r="C20" s="7">
        <f>C19 * Expected_Weights!H21</f>
        <v>1.090000000000001</v>
      </c>
      <c r="D20" s="7">
        <f>D19 * Expected_Weights!K21</f>
        <v>1.113972860508234</v>
      </c>
    </row>
    <row r="21" spans="1:4" x14ac:dyDescent="0.4">
      <c r="A21" s="2">
        <v>45677</v>
      </c>
      <c r="B21" s="7">
        <f>B20 * Expected_Weights!E22</f>
        <v>1.0407901811198421</v>
      </c>
      <c r="C21" s="7">
        <f>C20 * Expected_Weights!H22</f>
        <v>1.045000000000001</v>
      </c>
      <c r="D21" s="7">
        <f>D20 * Expected_Weights!K22</f>
        <v>1.0629944414680266</v>
      </c>
    </row>
    <row r="22" spans="1:4" x14ac:dyDescent="0.4">
      <c r="A22" s="2">
        <v>45678</v>
      </c>
      <c r="B22" s="7">
        <f>B21 * Expected_Weights!E23</f>
        <v>1.0999469942563165</v>
      </c>
      <c r="C22" s="7">
        <f>C21 * Expected_Weights!H23</f>
        <v>1.1000000000000012</v>
      </c>
      <c r="D22" s="7">
        <f>D21 * Expected_Weights!K23</f>
        <v>1.1265160514156958</v>
      </c>
    </row>
    <row r="23" spans="1:4" x14ac:dyDescent="0.4">
      <c r="A23" s="2">
        <v>45679</v>
      </c>
      <c r="B23" s="7">
        <f>B22 * Expected_Weights!E24</f>
        <v>1.0500334331724162</v>
      </c>
      <c r="C23" s="7">
        <f>C22 * Expected_Weights!H24</f>
        <v>1.055000000000001</v>
      </c>
      <c r="D23" s="7">
        <f>D22 * Expected_Weights!K24</f>
        <v>1.0748840657258096</v>
      </c>
    </row>
    <row r="24" spans="1:4" x14ac:dyDescent="0.4">
      <c r="A24" s="2">
        <v>45680</v>
      </c>
      <c r="B24" s="7">
        <f>B23 * Expected_Weights!E25</f>
        <v>1.1091902463088905</v>
      </c>
      <c r="C24" s="7">
        <f>C23 * Expected_Weights!H25</f>
        <v>1.110000000000001</v>
      </c>
      <c r="D24" s="7">
        <f>D23 * Expected_Weights!K25</f>
        <v>1.1390415168481032</v>
      </c>
    </row>
    <row r="25" spans="1:4" x14ac:dyDescent="0.4">
      <c r="A25" s="2">
        <v>45681</v>
      </c>
      <c r="B25" s="7">
        <f>B24 * Expected_Weights!E26</f>
        <v>1.0592766852249904</v>
      </c>
      <c r="C25" s="7">
        <f>C24 * Expected_Weights!H26</f>
        <v>1.0650000000000008</v>
      </c>
      <c r="D25" s="7">
        <f>D24 * Expected_Weights!K26</f>
        <v>1.0867576439436</v>
      </c>
    </row>
    <row r="26" spans="1:4" x14ac:dyDescent="0.4">
      <c r="A26" s="2">
        <v>45682</v>
      </c>
      <c r="B26" s="7">
        <f>B25 * Expected_Weights!E27</f>
        <v>1.1184334983614646</v>
      </c>
      <c r="C26" s="7">
        <f>C25 * Expected_Weights!H27</f>
        <v>1.120000000000001</v>
      </c>
      <c r="D26" s="7">
        <f>D25 * Expected_Weights!K27</f>
        <v>1.1515507826069042</v>
      </c>
    </row>
    <row r="27" spans="1:4" x14ac:dyDescent="0.4">
      <c r="A27" s="2">
        <v>45683</v>
      </c>
      <c r="B27" s="7">
        <f>B26 * Expected_Weights!E28</f>
        <v>1.0685199372775644</v>
      </c>
      <c r="C27" s="7">
        <f>C26 * Expected_Weights!H28</f>
        <v>1.0750000000000008</v>
      </c>
      <c r="D27" s="7">
        <f>D26 * Expected_Weights!K28</f>
        <v>1.0986165934064256</v>
      </c>
    </row>
    <row r="28" spans="1:4" x14ac:dyDescent="0.4">
      <c r="A28" s="2">
        <v>45684</v>
      </c>
      <c r="B28" s="7">
        <f>B27 * Expected_Weights!E29</f>
        <v>1.1321562357643171</v>
      </c>
      <c r="C28" s="7">
        <f>C27 * Expected_Weights!H29</f>
        <v>1.1300000000000008</v>
      </c>
      <c r="D28" s="7">
        <f>D27 * Expected_Weights!K29</f>
        <v>1.1640453149692971</v>
      </c>
    </row>
    <row r="29" spans="1:4" x14ac:dyDescent="0.4">
      <c r="A29" s="2">
        <v>45685</v>
      </c>
      <c r="B29" s="7">
        <f>B28 * Expected_Weights!E30</f>
        <v>1.0770680967757849</v>
      </c>
      <c r="C29" s="7">
        <f>C28 * Expected_Weights!H30</f>
        <v>1.0850000000000009</v>
      </c>
      <c r="D29" s="7">
        <f>D28 * Expected_Weights!K30</f>
        <v>1.1104622766611865</v>
      </c>
    </row>
    <row r="30" spans="1:4" x14ac:dyDescent="0.4">
      <c r="A30" s="2">
        <v>45686</v>
      </c>
      <c r="B30" s="7">
        <f>B29 * Expected_Weights!E31</f>
        <v>1.1407043952625378</v>
      </c>
      <c r="C30" s="7">
        <f>C29 * Expected_Weights!H31</f>
        <v>1.140000000000001</v>
      </c>
      <c r="D30" s="7">
        <f>D29 * Expected_Weights!K31</f>
        <v>1.1765265240915983</v>
      </c>
    </row>
    <row r="31" spans="1:4" x14ac:dyDescent="0.4">
      <c r="A31" s="2">
        <v>45687</v>
      </c>
      <c r="B31" s="7">
        <f>B30 * Expected_Weights!E32</f>
        <v>1.0856162562740053</v>
      </c>
      <c r="C31" s="7">
        <f>C30 * Expected_Weights!H32</f>
        <v>1.0950000000000009</v>
      </c>
      <c r="D31" s="7">
        <f>D30 * Expected_Weights!K32</f>
        <v>1.1222960046217512</v>
      </c>
    </row>
    <row r="32" spans="1:4" x14ac:dyDescent="0.4">
      <c r="A32" s="2">
        <v>45688</v>
      </c>
      <c r="B32" s="7">
        <f>B31 * Expected_Weights!E33</f>
        <v>1.1492525547607579</v>
      </c>
      <c r="C32" s="7">
        <f>C31 * Expected_Weights!H33</f>
        <v>1.150000000000001</v>
      </c>
      <c r="D32" s="7">
        <f>D31 * Expected_Weights!K33</f>
        <v>1.1889957671703306</v>
      </c>
    </row>
    <row r="33" spans="1:4" x14ac:dyDescent="0.4">
      <c r="A33" s="2">
        <v>45689</v>
      </c>
      <c r="B33" s="7">
        <f>B32 * Expected_Weights!E34</f>
        <v>1.0941644157722259</v>
      </c>
      <c r="C33" s="7">
        <f>C32 * Expected_Weights!H34</f>
        <v>1.0969230769230778</v>
      </c>
      <c r="D33" s="7">
        <f>D32 * Expected_Weights!K34</f>
        <v>1.1341190394547769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C66B4-691D-4E6C-9B58-26BA46864B57}">
  <dimension ref="A1:N4"/>
  <sheetViews>
    <sheetView tabSelected="1" zoomScale="205" zoomScaleNormal="205" workbookViewId="0">
      <selection activeCell="L5" sqref="L5"/>
    </sheetView>
  </sheetViews>
  <sheetFormatPr defaultRowHeight="14.6" x14ac:dyDescent="0.4"/>
  <cols>
    <col min="1" max="1" width="8.07421875" bestFit="1" customWidth="1"/>
    <col min="2" max="3" width="10.07421875" bestFit="1" customWidth="1"/>
    <col min="4" max="4" width="8.53515625" bestFit="1" customWidth="1"/>
    <col min="5" max="5" width="7.61328125" bestFit="1" customWidth="1"/>
    <col min="6" max="6" width="13.23046875" style="5" bestFit="1" customWidth="1"/>
    <col min="7" max="7" width="7.53515625" style="5" bestFit="1" customWidth="1"/>
    <col min="8" max="8" width="10.15234375" style="5" bestFit="1" customWidth="1"/>
    <col min="9" max="9" width="6.61328125" style="5" bestFit="1" customWidth="1"/>
    <col min="10" max="10" width="6.84375" bestFit="1" customWidth="1"/>
    <col min="11" max="11" width="16.07421875" style="5" bestFit="1" customWidth="1"/>
    <col min="12" max="12" width="15.4609375" style="5" bestFit="1" customWidth="1"/>
    <col min="13" max="13" width="20.07421875" bestFit="1" customWidth="1"/>
  </cols>
  <sheetData>
    <row r="1" spans="1:14" x14ac:dyDescent="0.4">
      <c r="A1" s="1"/>
      <c r="B1" s="1" t="s">
        <v>18</v>
      </c>
      <c r="C1" s="1" t="s">
        <v>19</v>
      </c>
      <c r="D1" s="1" t="s">
        <v>20</v>
      </c>
      <c r="E1" s="1" t="s">
        <v>21</v>
      </c>
      <c r="F1" s="4" t="s">
        <v>22</v>
      </c>
      <c r="G1" s="4" t="s">
        <v>23</v>
      </c>
      <c r="H1" s="4" t="s">
        <v>24</v>
      </c>
      <c r="I1" s="4" t="s">
        <v>25</v>
      </c>
      <c r="J1" s="1" t="s">
        <v>26</v>
      </c>
      <c r="K1" s="4" t="s">
        <v>27</v>
      </c>
      <c r="L1" s="4" t="s">
        <v>28</v>
      </c>
      <c r="M1" s="1" t="s">
        <v>29</v>
      </c>
      <c r="N1" s="1"/>
    </row>
    <row r="2" spans="1:14" x14ac:dyDescent="0.4">
      <c r="A2" t="s">
        <v>14</v>
      </c>
      <c r="B2" s="2">
        <v>45658</v>
      </c>
      <c r="C2" s="2">
        <v>45689</v>
      </c>
      <c r="D2" t="s">
        <v>36</v>
      </c>
      <c r="E2" t="s">
        <v>30</v>
      </c>
      <c r="F2" s="5">
        <v>9.42</v>
      </c>
      <c r="G2" s="5">
        <v>188.72</v>
      </c>
      <c r="H2" s="5">
        <v>82.08</v>
      </c>
      <c r="I2" s="5">
        <v>1.26</v>
      </c>
      <c r="J2">
        <v>2.0099999999999998</v>
      </c>
      <c r="K2" s="5">
        <v>-4.87</v>
      </c>
      <c r="L2" s="5">
        <v>-4.5999999999999996</v>
      </c>
      <c r="M2" t="s">
        <v>31</v>
      </c>
    </row>
    <row r="3" spans="1:14" x14ac:dyDescent="0.4">
      <c r="A3" t="s">
        <v>15</v>
      </c>
      <c r="B3" s="2">
        <v>45658</v>
      </c>
      <c r="C3" s="2">
        <v>45689</v>
      </c>
      <c r="D3" t="s">
        <v>40</v>
      </c>
      <c r="E3" t="s">
        <v>30</v>
      </c>
      <c r="F3" s="5">
        <v>9.69</v>
      </c>
      <c r="G3" s="5">
        <v>197.42</v>
      </c>
      <c r="H3" s="5">
        <v>75.959999999999994</v>
      </c>
      <c r="I3" s="5">
        <v>1.32</v>
      </c>
      <c r="J3">
        <v>2.12</v>
      </c>
      <c r="K3" s="5">
        <v>-4.62</v>
      </c>
      <c r="L3" s="5">
        <v>-4.24</v>
      </c>
      <c r="M3" t="s">
        <v>31</v>
      </c>
    </row>
    <row r="4" spans="1:14" x14ac:dyDescent="0.4">
      <c r="A4" t="s">
        <v>45</v>
      </c>
      <c r="B4" s="2">
        <v>45658</v>
      </c>
      <c r="C4" s="2">
        <v>45689</v>
      </c>
      <c r="D4" t="s">
        <v>44</v>
      </c>
      <c r="E4" t="s">
        <v>30</v>
      </c>
      <c r="F4" s="5">
        <v>13.41</v>
      </c>
      <c r="G4" s="5">
        <v>340.56</v>
      </c>
      <c r="H4" s="5">
        <v>83.23</v>
      </c>
      <c r="I4" s="5">
        <v>1.59</v>
      </c>
      <c r="J4">
        <v>2.6</v>
      </c>
      <c r="K4" s="5">
        <v>-4.62</v>
      </c>
      <c r="L4" s="5">
        <v>-4.5599999999999996</v>
      </c>
      <c r="M4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Assets</vt:lpstr>
      <vt:lpstr>Prices</vt:lpstr>
      <vt:lpstr>Portfolios</vt:lpstr>
      <vt:lpstr>Expected_Weights</vt:lpstr>
      <vt:lpstr>Expected_Values</vt:lpstr>
      <vt:lpstr>Expected_Stats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Kello</dc:creator>
  <cp:lastModifiedBy>Jonas Kello</cp:lastModifiedBy>
  <dcterms:created xsi:type="dcterms:W3CDTF">2015-06-05T18:17:20Z</dcterms:created>
  <dcterms:modified xsi:type="dcterms:W3CDTF">2026-04-22T13:20:01Z</dcterms:modified>
</cp:coreProperties>
</file>