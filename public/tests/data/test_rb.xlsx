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e\github\jonaskello\backcel\public\tests\data\"/>
    </mc:Choice>
  </mc:AlternateContent>
  <xr:revisionPtr revIDLastSave="0" documentId="13_ncr:1_{C13C79BB-2496-4E91-B91A-111B07D5FFB0}" xr6:coauthVersionLast="47" xr6:coauthVersionMax="47" xr10:uidLastSave="{00000000-0000-0000-0000-000000000000}"/>
  <bookViews>
    <workbookView xWindow="-103" yWindow="-103" windowWidth="33120" windowHeight="18000" activeTab="4" xr2:uid="{00000000-000D-0000-FFFF-FFFF00000000}"/>
  </bookViews>
  <sheets>
    <sheet name="Main" sheetId="1" r:id="rId1"/>
    <sheet name="Assets" sheetId="4" r:id="rId2"/>
    <sheet name="Prices" sheetId="5" r:id="rId3"/>
    <sheet name="Portfolios" sheetId="2" r:id="rId4"/>
    <sheet name="Expected_Weights" sheetId="7" r:id="rId5"/>
    <sheet name="Expected_Values" sheetId="6" r:id="rId6"/>
    <sheet name="Expected_Stat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7" l="1"/>
  <c r="B30" i="7"/>
  <c r="B31" i="7"/>
  <c r="B32" i="7"/>
  <c r="B33" i="7"/>
  <c r="B34" i="7"/>
  <c r="B20" i="7"/>
  <c r="B21" i="7"/>
  <c r="B22" i="7"/>
  <c r="B23" i="7"/>
  <c r="B24" i="7"/>
  <c r="B25" i="7"/>
  <c r="B26" i="7"/>
  <c r="B27" i="7"/>
  <c r="B28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3" i="7"/>
  <c r="D32" i="5"/>
  <c r="E32" i="5"/>
  <c r="D33" i="5"/>
  <c r="E33" i="5"/>
  <c r="D20" i="5"/>
  <c r="E20" i="5"/>
  <c r="D21" i="5"/>
  <c r="E22" i="7" s="1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E4" i="5"/>
  <c r="E5" i="5"/>
  <c r="E6" i="5"/>
  <c r="E7" i="5"/>
  <c r="E8" i="5"/>
  <c r="E9" i="5"/>
  <c r="E10" i="5"/>
  <c r="E3" i="5"/>
  <c r="D4" i="5"/>
  <c r="D5" i="5"/>
  <c r="D6" i="5"/>
  <c r="D7" i="5"/>
  <c r="E8" i="7" s="1"/>
  <c r="D8" i="5"/>
  <c r="D9" i="5"/>
  <c r="D10" i="5"/>
  <c r="D3" i="5"/>
  <c r="E4" i="7" s="1"/>
  <c r="B3" i="6" s="1"/>
  <c r="E29" i="7" l="1"/>
  <c r="D30" i="7" s="1"/>
  <c r="E15" i="7"/>
  <c r="C23" i="7"/>
  <c r="D23" i="7"/>
  <c r="C30" i="7"/>
  <c r="C9" i="7"/>
  <c r="D9" i="7"/>
  <c r="C5" i="7"/>
  <c r="D5" i="7"/>
  <c r="E5" i="7" l="1"/>
  <c r="C16" i="7"/>
  <c r="D16" i="7"/>
  <c r="E23" i="7"/>
  <c r="E9" i="7"/>
  <c r="E30" i="7"/>
  <c r="D6" i="7" l="1"/>
  <c r="B4" i="6"/>
  <c r="C6" i="7"/>
  <c r="E6" i="7" s="1"/>
  <c r="C7" i="7" s="1"/>
  <c r="E16" i="7"/>
  <c r="D24" i="7"/>
  <c r="C24" i="7"/>
  <c r="D10" i="7"/>
  <c r="C10" i="7"/>
  <c r="E10" i="7" s="1"/>
  <c r="D31" i="7"/>
  <c r="C31" i="7"/>
  <c r="D17" i="7"/>
  <c r="C17" i="7"/>
  <c r="B5" i="6" l="1"/>
  <c r="D7" i="7"/>
  <c r="E7" i="7" s="1"/>
  <c r="D11" i="7"/>
  <c r="C11" i="7"/>
  <c r="E17" i="7"/>
  <c r="B6" i="6" l="1"/>
  <c r="B7" i="6" s="1"/>
  <c r="B8" i="6" s="1"/>
  <c r="B9" i="6" s="1"/>
  <c r="D18" i="7"/>
  <c r="C18" i="7"/>
  <c r="E11" i="7"/>
  <c r="E18" i="7" l="1"/>
  <c r="D19" i="7" s="1"/>
  <c r="C19" i="7"/>
  <c r="C12" i="7"/>
  <c r="B10" i="6"/>
  <c r="D12" i="7"/>
  <c r="E19" i="7" l="1"/>
  <c r="C20" i="7"/>
  <c r="D20" i="7"/>
  <c r="E12" i="7"/>
  <c r="E20" i="7" l="1"/>
  <c r="C21" i="7" s="1"/>
  <c r="D21" i="7"/>
  <c r="C13" i="7"/>
  <c r="B11" i="6"/>
  <c r="D13" i="7"/>
  <c r="E21" i="7" l="1"/>
  <c r="E13" i="7"/>
  <c r="C14" i="7" l="1"/>
  <c r="B12" i="6"/>
  <c r="E24" i="7"/>
  <c r="D14" i="7"/>
  <c r="E14" i="7" l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D25" i="7"/>
  <c r="C25" i="7"/>
  <c r="E25" i="7" l="1"/>
  <c r="C26" i="7" l="1"/>
  <c r="B24" i="6"/>
  <c r="D26" i="7"/>
  <c r="E26" i="7" l="1"/>
  <c r="B25" i="6" s="1"/>
  <c r="D27" i="7" l="1"/>
  <c r="C27" i="7"/>
  <c r="E27" i="7" l="1"/>
  <c r="B26" i="6" l="1"/>
  <c r="C28" i="7"/>
  <c r="E28" i="7" s="1"/>
  <c r="D28" i="7"/>
  <c r="E31" i="7"/>
  <c r="B27" i="6" l="1"/>
  <c r="B28" i="6" s="1"/>
  <c r="B29" i="6" s="1"/>
  <c r="B30" i="6" s="1"/>
  <c r="D32" i="7"/>
  <c r="C32" i="7"/>
  <c r="E32" i="7" l="1"/>
  <c r="D33" i="7" s="1"/>
  <c r="B31" i="6" l="1"/>
  <c r="C33" i="7"/>
  <c r="E33" i="7" s="1"/>
  <c r="B32" i="6" l="1"/>
  <c r="D34" i="7"/>
  <c r="C34" i="7"/>
  <c r="E34" i="7" l="1"/>
  <c r="B33" i="6" s="1"/>
</calcChain>
</file>

<file path=xl/sharedStrings.xml><?xml version="1.0" encoding="utf-8"?>
<sst xmlns="http://schemas.openxmlformats.org/spreadsheetml/2006/main" count="57" uniqueCount="41">
  <si>
    <t>Name</t>
  </si>
  <si>
    <t>Value</t>
  </si>
  <si>
    <t>currency</t>
  </si>
  <si>
    <t>SEK</t>
  </si>
  <si>
    <t>start</t>
  </si>
  <si>
    <t>end</t>
  </si>
  <si>
    <t>Assets</t>
  </si>
  <si>
    <t>ID</t>
  </si>
  <si>
    <t>A1</t>
  </si>
  <si>
    <t>A2</t>
  </si>
  <si>
    <t>The first asset</t>
  </si>
  <si>
    <t>The second asset</t>
  </si>
  <si>
    <t>Portfolios</t>
  </si>
  <si>
    <t>Date</t>
  </si>
  <si>
    <t>P1</t>
  </si>
  <si>
    <t>Asset</t>
  </si>
  <si>
    <t>Portfolio</t>
  </si>
  <si>
    <t>Start</t>
  </si>
  <si>
    <t>End</t>
  </si>
  <si>
    <t>RB Check</t>
  </si>
  <si>
    <t>RB Type</t>
  </si>
  <si>
    <t>Total Return %</t>
  </si>
  <si>
    <t>CAGR %</t>
  </si>
  <si>
    <t>Volatility %</t>
  </si>
  <si>
    <t>Sharpe</t>
  </si>
  <si>
    <t>Sortino</t>
  </si>
  <si>
    <t>Max Drawdown %</t>
  </si>
  <si>
    <t>Avg Drawdown %</t>
  </si>
  <si>
    <t>Max Drawdown Period</t>
  </si>
  <si>
    <t>full</t>
  </si>
  <si>
    <t>1 days</t>
  </si>
  <si>
    <t>portfolios</t>
  </si>
  <si>
    <t>assets</t>
  </si>
  <si>
    <t>__rb_check</t>
  </si>
  <si>
    <t>__rb_type</t>
  </si>
  <si>
    <t>weekly</t>
  </si>
  <si>
    <t>_A1_grow</t>
  </si>
  <si>
    <t>_A2_grow</t>
  </si>
  <si>
    <t>_grow</t>
  </si>
  <si>
    <t>_WD</t>
  </si>
  <si>
    <t>_P1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</si>
</sst>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9" formatCode="0.0000%"/>
    <numFmt numFmtId="173" formatCode="[$]dddd" x16r2:formatCode16="[$-en-SE]dd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0" fillId="0" borderId="0" xfId="0" applyFont="1"/>
    <xf numFmtId="10" fontId="1" fillId="0" borderId="0" xfId="0" applyNumberFormat="1" applyFont="1"/>
    <xf numFmtId="10" fontId="0" fillId="0" borderId="0" xfId="0" applyNumberFormat="1"/>
    <xf numFmtId="169" fontId="1" fillId="0" borderId="0" xfId="0" applyNumberFormat="1" applyFont="1"/>
    <xf numFmtId="173" fontId="0" fillId="0" borderId="0" xfId="0" applyNumberFormat="1" applyAlignment="1">
      <alignment horizontal="left"/>
    </xf>
    <xf numFmtId="173" fontId="1" fillId="0" borderId="0" xfId="0" applyNumberFormat="1" applyFont="1" applyAlignment="1">
      <alignment horizontal="left"/>
    </xf>
    <xf numFmtId="1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160" zoomScaleNormal="160" workbookViewId="0">
      <selection activeCell="A7" sqref="A7"/>
    </sheetView>
  </sheetViews>
  <sheetFormatPr defaultRowHeight="14.6" x14ac:dyDescent="0.4"/>
  <cols>
    <col min="1" max="1" width="8.84375" bestFit="1" customWidth="1"/>
    <col min="2" max="2" width="13.46093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s="2">
        <v>45658</v>
      </c>
    </row>
    <row r="4" spans="1:2" x14ac:dyDescent="0.4">
      <c r="A4" t="s">
        <v>5</v>
      </c>
      <c r="B4" s="2">
        <v>45689</v>
      </c>
    </row>
    <row r="5" spans="1:2" x14ac:dyDescent="0.4">
      <c r="A5" t="s">
        <v>31</v>
      </c>
      <c r="B5" t="s">
        <v>12</v>
      </c>
    </row>
    <row r="6" spans="1:2" x14ac:dyDescent="0.4">
      <c r="A6" t="s">
        <v>32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1D88-DDEC-4A65-8905-A99CA73725FC}">
  <dimension ref="A1:B3"/>
  <sheetViews>
    <sheetView zoomScale="175" zoomScaleNormal="175" workbookViewId="0">
      <selection activeCell="C1" sqref="C1:D1048576"/>
    </sheetView>
  </sheetViews>
  <sheetFormatPr defaultRowHeight="14.6" x14ac:dyDescent="0.4"/>
  <cols>
    <col min="2" max="2" width="14.921875" bestFit="1" customWidth="1"/>
  </cols>
  <sheetData>
    <row r="1" spans="1:2" x14ac:dyDescent="0.4">
      <c r="A1" s="1" t="s">
        <v>7</v>
      </c>
      <c r="B1" s="1" t="s">
        <v>0</v>
      </c>
    </row>
    <row r="2" spans="1:2" x14ac:dyDescent="0.4">
      <c r="A2" t="s">
        <v>8</v>
      </c>
      <c r="B2" t="s">
        <v>10</v>
      </c>
    </row>
    <row r="3" spans="1:2" x14ac:dyDescent="0.4">
      <c r="A3" t="s">
        <v>9</v>
      </c>
      <c r="B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2483-BB80-4E18-92F0-22F7848078C4}">
  <dimension ref="A1:E33"/>
  <sheetViews>
    <sheetView zoomScale="190" zoomScaleNormal="190" workbookViewId="0">
      <selection activeCell="F3" sqref="F3"/>
    </sheetView>
  </sheetViews>
  <sheetFormatPr defaultRowHeight="14.6" x14ac:dyDescent="0.4"/>
  <cols>
    <col min="1" max="1" width="10.07421875" bestFit="1" customWidth="1"/>
    <col min="4" max="4" width="9.23046875" style="7"/>
  </cols>
  <sheetData>
    <row r="1" spans="1:5" x14ac:dyDescent="0.4">
      <c r="A1" s="1" t="s">
        <v>13</v>
      </c>
      <c r="B1" s="1" t="s">
        <v>8</v>
      </c>
      <c r="C1" s="1" t="s">
        <v>9</v>
      </c>
      <c r="D1" s="6" t="s">
        <v>36</v>
      </c>
      <c r="E1" s="11" t="s">
        <v>37</v>
      </c>
    </row>
    <row r="2" spans="1:5" x14ac:dyDescent="0.4">
      <c r="A2" s="2">
        <v>45658</v>
      </c>
      <c r="B2">
        <v>100</v>
      </c>
      <c r="C2">
        <v>100</v>
      </c>
      <c r="D2" s="7">
        <v>0</v>
      </c>
      <c r="E2" s="7">
        <v>0</v>
      </c>
    </row>
    <row r="3" spans="1:5" x14ac:dyDescent="0.4">
      <c r="A3" s="2">
        <v>45659</v>
      </c>
      <c r="B3">
        <v>101</v>
      </c>
      <c r="C3">
        <v>90</v>
      </c>
      <c r="D3" s="7">
        <f>B3/B2</f>
        <v>1.01</v>
      </c>
      <c r="E3" s="7">
        <f>C3/C2</f>
        <v>0.9</v>
      </c>
    </row>
    <row r="4" spans="1:5" x14ac:dyDescent="0.4">
      <c r="A4" s="2">
        <v>45660</v>
      </c>
      <c r="B4">
        <v>102</v>
      </c>
      <c r="C4">
        <v>100</v>
      </c>
      <c r="D4" s="7">
        <f t="shared" ref="D4:D10" si="0">B4/B3</f>
        <v>1.0099009900990099</v>
      </c>
      <c r="E4" s="7">
        <f t="shared" ref="E4:E10" si="1">C4/C3</f>
        <v>1.1111111111111112</v>
      </c>
    </row>
    <row r="5" spans="1:5" x14ac:dyDescent="0.4">
      <c r="A5" s="2">
        <v>45661</v>
      </c>
      <c r="B5">
        <v>103</v>
      </c>
      <c r="C5">
        <v>90</v>
      </c>
      <c r="D5" s="7">
        <f t="shared" si="0"/>
        <v>1.0098039215686274</v>
      </c>
      <c r="E5" s="7">
        <f t="shared" si="1"/>
        <v>0.9</v>
      </c>
    </row>
    <row r="6" spans="1:5" x14ac:dyDescent="0.4">
      <c r="A6" s="2">
        <v>45662</v>
      </c>
      <c r="B6">
        <v>104</v>
      </c>
      <c r="C6">
        <v>100</v>
      </c>
      <c r="D6" s="7">
        <f t="shared" si="0"/>
        <v>1.0097087378640777</v>
      </c>
      <c r="E6" s="7">
        <f t="shared" si="1"/>
        <v>1.1111111111111112</v>
      </c>
    </row>
    <row r="7" spans="1:5" x14ac:dyDescent="0.4">
      <c r="A7" s="2">
        <v>45663</v>
      </c>
      <c r="B7">
        <v>105</v>
      </c>
      <c r="C7">
        <v>90</v>
      </c>
      <c r="D7" s="7">
        <f t="shared" si="0"/>
        <v>1.0096153846153846</v>
      </c>
      <c r="E7" s="7">
        <f t="shared" si="1"/>
        <v>0.9</v>
      </c>
    </row>
    <row r="8" spans="1:5" x14ac:dyDescent="0.4">
      <c r="A8" s="2">
        <v>45664</v>
      </c>
      <c r="B8">
        <v>106</v>
      </c>
      <c r="C8">
        <v>100</v>
      </c>
      <c r="D8" s="7">
        <f t="shared" si="0"/>
        <v>1.0095238095238095</v>
      </c>
      <c r="E8" s="7">
        <f t="shared" si="1"/>
        <v>1.1111111111111112</v>
      </c>
    </row>
    <row r="9" spans="1:5" x14ac:dyDescent="0.4">
      <c r="A9" s="2">
        <v>45665</v>
      </c>
      <c r="B9">
        <v>107</v>
      </c>
      <c r="C9">
        <v>90</v>
      </c>
      <c r="D9" s="7">
        <f t="shared" si="0"/>
        <v>1.0094339622641511</v>
      </c>
      <c r="E9" s="7">
        <f t="shared" si="1"/>
        <v>0.9</v>
      </c>
    </row>
    <row r="10" spans="1:5" x14ac:dyDescent="0.4">
      <c r="A10" s="2">
        <v>45666</v>
      </c>
      <c r="B10">
        <v>108</v>
      </c>
      <c r="C10">
        <v>100</v>
      </c>
      <c r="D10" s="7">
        <f t="shared" si="0"/>
        <v>1.0093457943925233</v>
      </c>
      <c r="E10" s="7">
        <f t="shared" si="1"/>
        <v>1.1111111111111112</v>
      </c>
    </row>
    <row r="11" spans="1:5" x14ac:dyDescent="0.4">
      <c r="A11" s="2">
        <v>45667</v>
      </c>
      <c r="B11">
        <v>109</v>
      </c>
      <c r="C11">
        <v>90</v>
      </c>
      <c r="D11" s="7">
        <f t="shared" ref="D11:D20" si="2">B11/B10</f>
        <v>1.0092592592592593</v>
      </c>
      <c r="E11" s="7">
        <f t="shared" ref="E11:E20" si="3">C11/C10</f>
        <v>0.9</v>
      </c>
    </row>
    <row r="12" spans="1:5" x14ac:dyDescent="0.4">
      <c r="A12" s="2">
        <v>45668</v>
      </c>
      <c r="B12">
        <v>110</v>
      </c>
      <c r="C12">
        <v>100</v>
      </c>
      <c r="D12" s="7">
        <f t="shared" si="2"/>
        <v>1.0091743119266054</v>
      </c>
      <c r="E12" s="7">
        <f t="shared" si="3"/>
        <v>1.1111111111111112</v>
      </c>
    </row>
    <row r="13" spans="1:5" x14ac:dyDescent="0.4">
      <c r="A13" s="2">
        <v>45669</v>
      </c>
      <c r="B13">
        <v>111</v>
      </c>
      <c r="C13">
        <v>90</v>
      </c>
      <c r="D13" s="7">
        <f t="shared" si="2"/>
        <v>1.009090909090909</v>
      </c>
      <c r="E13" s="7">
        <f t="shared" si="3"/>
        <v>0.9</v>
      </c>
    </row>
    <row r="14" spans="1:5" x14ac:dyDescent="0.4">
      <c r="A14" s="2">
        <v>45670</v>
      </c>
      <c r="B14">
        <v>112</v>
      </c>
      <c r="C14">
        <v>100</v>
      </c>
      <c r="D14" s="7">
        <f t="shared" si="2"/>
        <v>1.0090090090090089</v>
      </c>
      <c r="E14" s="7">
        <f t="shared" si="3"/>
        <v>1.1111111111111112</v>
      </c>
    </row>
    <row r="15" spans="1:5" x14ac:dyDescent="0.4">
      <c r="A15" s="2">
        <v>45671</v>
      </c>
      <c r="B15">
        <v>113</v>
      </c>
      <c r="C15">
        <v>90</v>
      </c>
      <c r="D15" s="7">
        <f t="shared" si="2"/>
        <v>1.0089285714285714</v>
      </c>
      <c r="E15" s="7">
        <f t="shared" si="3"/>
        <v>0.9</v>
      </c>
    </row>
    <row r="16" spans="1:5" x14ac:dyDescent="0.4">
      <c r="A16" s="2">
        <v>45672</v>
      </c>
      <c r="B16">
        <v>114</v>
      </c>
      <c r="C16">
        <v>100</v>
      </c>
      <c r="D16" s="7">
        <f t="shared" si="2"/>
        <v>1.0088495575221239</v>
      </c>
      <c r="E16" s="7">
        <f t="shared" si="3"/>
        <v>1.1111111111111112</v>
      </c>
    </row>
    <row r="17" spans="1:5" x14ac:dyDescent="0.4">
      <c r="A17" s="2">
        <v>45673</v>
      </c>
      <c r="B17">
        <v>115</v>
      </c>
      <c r="C17">
        <v>90</v>
      </c>
      <c r="D17" s="7">
        <f t="shared" si="2"/>
        <v>1.0087719298245614</v>
      </c>
      <c r="E17" s="7">
        <f t="shared" si="3"/>
        <v>0.9</v>
      </c>
    </row>
    <row r="18" spans="1:5" x14ac:dyDescent="0.4">
      <c r="A18" s="2">
        <v>45674</v>
      </c>
      <c r="B18">
        <v>116</v>
      </c>
      <c r="C18">
        <v>100</v>
      </c>
      <c r="D18" s="7">
        <f t="shared" si="2"/>
        <v>1.008695652173913</v>
      </c>
      <c r="E18" s="7">
        <f t="shared" si="3"/>
        <v>1.1111111111111112</v>
      </c>
    </row>
    <row r="19" spans="1:5" x14ac:dyDescent="0.4">
      <c r="A19" s="2">
        <v>45675</v>
      </c>
      <c r="B19">
        <v>117</v>
      </c>
      <c r="C19">
        <v>90</v>
      </c>
      <c r="D19" s="7">
        <f t="shared" si="2"/>
        <v>1.0086206896551724</v>
      </c>
      <c r="E19" s="7">
        <f t="shared" si="3"/>
        <v>0.9</v>
      </c>
    </row>
    <row r="20" spans="1:5" x14ac:dyDescent="0.4">
      <c r="A20" s="2">
        <v>45676</v>
      </c>
      <c r="B20">
        <v>118</v>
      </c>
      <c r="C20">
        <v>100</v>
      </c>
      <c r="D20" s="7">
        <f t="shared" si="2"/>
        <v>1.0085470085470085</v>
      </c>
      <c r="E20" s="7">
        <f t="shared" si="3"/>
        <v>1.1111111111111112</v>
      </c>
    </row>
    <row r="21" spans="1:5" x14ac:dyDescent="0.4">
      <c r="A21" s="2">
        <v>45677</v>
      </c>
      <c r="B21">
        <v>119</v>
      </c>
      <c r="C21">
        <v>90</v>
      </c>
      <c r="D21" s="7">
        <f t="shared" ref="D21:D33" si="4">B21/B20</f>
        <v>1.0084745762711864</v>
      </c>
      <c r="E21" s="7">
        <f t="shared" ref="E21:E33" si="5">C21/C20</f>
        <v>0.9</v>
      </c>
    </row>
    <row r="22" spans="1:5" x14ac:dyDescent="0.4">
      <c r="A22" s="2">
        <v>45678</v>
      </c>
      <c r="B22">
        <v>120</v>
      </c>
      <c r="C22">
        <v>100</v>
      </c>
      <c r="D22" s="7">
        <f t="shared" si="4"/>
        <v>1.0084033613445378</v>
      </c>
      <c r="E22" s="7">
        <f t="shared" si="5"/>
        <v>1.1111111111111112</v>
      </c>
    </row>
    <row r="23" spans="1:5" x14ac:dyDescent="0.4">
      <c r="A23" s="2">
        <v>45679</v>
      </c>
      <c r="B23">
        <v>121</v>
      </c>
      <c r="C23">
        <v>90</v>
      </c>
      <c r="D23" s="7">
        <f t="shared" si="4"/>
        <v>1.0083333333333333</v>
      </c>
      <c r="E23" s="7">
        <f t="shared" si="5"/>
        <v>0.9</v>
      </c>
    </row>
    <row r="24" spans="1:5" x14ac:dyDescent="0.4">
      <c r="A24" s="2">
        <v>45680</v>
      </c>
      <c r="B24">
        <v>122</v>
      </c>
      <c r="C24">
        <v>100</v>
      </c>
      <c r="D24" s="7">
        <f t="shared" si="4"/>
        <v>1.0082644628099173</v>
      </c>
      <c r="E24" s="7">
        <f t="shared" si="5"/>
        <v>1.1111111111111112</v>
      </c>
    </row>
    <row r="25" spans="1:5" x14ac:dyDescent="0.4">
      <c r="A25" s="2">
        <v>45681</v>
      </c>
      <c r="B25">
        <v>123</v>
      </c>
      <c r="C25">
        <v>90</v>
      </c>
      <c r="D25" s="7">
        <f t="shared" si="4"/>
        <v>1.0081967213114753</v>
      </c>
      <c r="E25" s="7">
        <f t="shared" si="5"/>
        <v>0.9</v>
      </c>
    </row>
    <row r="26" spans="1:5" x14ac:dyDescent="0.4">
      <c r="A26" s="2">
        <v>45682</v>
      </c>
      <c r="B26">
        <v>124</v>
      </c>
      <c r="C26">
        <v>100</v>
      </c>
      <c r="D26" s="7">
        <f t="shared" si="4"/>
        <v>1.0081300813008129</v>
      </c>
      <c r="E26" s="7">
        <f t="shared" si="5"/>
        <v>1.1111111111111112</v>
      </c>
    </row>
    <row r="27" spans="1:5" x14ac:dyDescent="0.4">
      <c r="A27" s="2">
        <v>45683</v>
      </c>
      <c r="B27">
        <v>125</v>
      </c>
      <c r="C27">
        <v>90</v>
      </c>
      <c r="D27" s="7">
        <f t="shared" si="4"/>
        <v>1.0080645161290323</v>
      </c>
      <c r="E27" s="7">
        <f t="shared" si="5"/>
        <v>0.9</v>
      </c>
    </row>
    <row r="28" spans="1:5" x14ac:dyDescent="0.4">
      <c r="A28" s="2">
        <v>45684</v>
      </c>
      <c r="B28">
        <v>126</v>
      </c>
      <c r="C28">
        <v>100</v>
      </c>
      <c r="D28" s="7">
        <f t="shared" si="4"/>
        <v>1.008</v>
      </c>
      <c r="E28" s="7">
        <f t="shared" si="5"/>
        <v>1.1111111111111112</v>
      </c>
    </row>
    <row r="29" spans="1:5" x14ac:dyDescent="0.4">
      <c r="A29" s="2">
        <v>45685</v>
      </c>
      <c r="B29">
        <v>127</v>
      </c>
      <c r="C29">
        <v>90</v>
      </c>
      <c r="D29" s="7">
        <f t="shared" si="4"/>
        <v>1.0079365079365079</v>
      </c>
      <c r="E29" s="7">
        <f t="shared" si="5"/>
        <v>0.9</v>
      </c>
    </row>
    <row r="30" spans="1:5" x14ac:dyDescent="0.4">
      <c r="A30" s="2">
        <v>45686</v>
      </c>
      <c r="B30">
        <v>128</v>
      </c>
      <c r="C30">
        <v>100</v>
      </c>
      <c r="D30" s="7">
        <f t="shared" si="4"/>
        <v>1.0078740157480315</v>
      </c>
      <c r="E30" s="7">
        <f t="shared" si="5"/>
        <v>1.1111111111111112</v>
      </c>
    </row>
    <row r="31" spans="1:5" x14ac:dyDescent="0.4">
      <c r="A31" s="2">
        <v>45687</v>
      </c>
      <c r="B31">
        <v>129</v>
      </c>
      <c r="C31">
        <v>90</v>
      </c>
      <c r="D31" s="7">
        <f t="shared" si="4"/>
        <v>1.0078125</v>
      </c>
      <c r="E31" s="7">
        <f t="shared" si="5"/>
        <v>0.9</v>
      </c>
    </row>
    <row r="32" spans="1:5" x14ac:dyDescent="0.4">
      <c r="A32" s="2">
        <v>45688</v>
      </c>
      <c r="B32">
        <v>130</v>
      </c>
      <c r="C32">
        <v>100</v>
      </c>
      <c r="D32" s="7">
        <f t="shared" si="4"/>
        <v>1.0077519379844961</v>
      </c>
      <c r="E32" s="7">
        <f t="shared" si="5"/>
        <v>1.1111111111111112</v>
      </c>
    </row>
    <row r="33" spans="1:5" x14ac:dyDescent="0.4">
      <c r="A33" s="2">
        <v>45689</v>
      </c>
      <c r="B33">
        <v>131</v>
      </c>
      <c r="C33">
        <v>90</v>
      </c>
      <c r="D33" s="7">
        <f t="shared" si="4"/>
        <v>1.0076923076923077</v>
      </c>
      <c r="E33" s="7">
        <f t="shared" si="5"/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A01E-A3C8-43F7-BE2B-2D20BB66CB4A}">
  <dimension ref="A1:B5"/>
  <sheetViews>
    <sheetView zoomScale="175" zoomScaleNormal="175" workbookViewId="0">
      <selection activeCell="B2" sqref="B2"/>
    </sheetView>
  </sheetViews>
  <sheetFormatPr defaultRowHeight="14.6" x14ac:dyDescent="0.4"/>
  <cols>
    <col min="1" max="1" width="10.3046875" bestFit="1" customWidth="1"/>
  </cols>
  <sheetData>
    <row r="1" spans="1:2" x14ac:dyDescent="0.4">
      <c r="A1" s="1" t="s">
        <v>7</v>
      </c>
      <c r="B1" s="1" t="s">
        <v>14</v>
      </c>
    </row>
    <row r="2" spans="1:2" x14ac:dyDescent="0.4">
      <c r="A2" s="1" t="s">
        <v>33</v>
      </c>
      <c r="B2" s="8" t="s">
        <v>35</v>
      </c>
    </row>
    <row r="3" spans="1:2" x14ac:dyDescent="0.4">
      <c r="A3" s="1" t="s">
        <v>34</v>
      </c>
      <c r="B3" s="8" t="s">
        <v>29</v>
      </c>
    </row>
    <row r="4" spans="1:2" x14ac:dyDescent="0.4">
      <c r="A4" t="s">
        <v>8</v>
      </c>
      <c r="B4" s="3">
        <v>0.5</v>
      </c>
    </row>
    <row r="5" spans="1:2" x14ac:dyDescent="0.4">
      <c r="A5" t="s">
        <v>9</v>
      </c>
      <c r="B5" s="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1201-9593-4FA8-BE4A-D6543E3F5A5B}">
  <dimension ref="A1:E34"/>
  <sheetViews>
    <sheetView tabSelected="1" zoomScale="190" zoomScaleNormal="190" workbookViewId="0">
      <selection activeCell="D1" sqref="D1"/>
    </sheetView>
  </sheetViews>
  <sheetFormatPr defaultRowHeight="14.6" x14ac:dyDescent="0.4"/>
  <cols>
    <col min="1" max="1" width="10.07421875" bestFit="1" customWidth="1"/>
    <col min="2" max="2" width="10.4609375" bestFit="1" customWidth="1"/>
    <col min="5" max="5" width="11.15234375" bestFit="1" customWidth="1"/>
  </cols>
  <sheetData>
    <row r="1" spans="1:5" x14ac:dyDescent="0.4">
      <c r="A1" s="1" t="s">
        <v>16</v>
      </c>
      <c r="B1" s="1" t="s">
        <v>39</v>
      </c>
      <c r="C1" s="14" t="s">
        <v>14</v>
      </c>
      <c r="D1" s="14" t="s">
        <v>14</v>
      </c>
      <c r="E1" s="14" t="s">
        <v>40</v>
      </c>
    </row>
    <row r="2" spans="1:5" x14ac:dyDescent="0.4">
      <c r="A2" s="1" t="s">
        <v>15</v>
      </c>
      <c r="B2" s="1" t="s">
        <v>39</v>
      </c>
      <c r="C2" s="9" t="s">
        <v>8</v>
      </c>
      <c r="D2" s="9" t="s">
        <v>9</v>
      </c>
      <c r="E2" s="9" t="s">
        <v>38</v>
      </c>
    </row>
    <row r="3" spans="1:5" x14ac:dyDescent="0.4">
      <c r="A3" s="2">
        <v>45658</v>
      </c>
      <c r="B3" s="12">
        <f>A3</f>
        <v>45658</v>
      </c>
      <c r="C3" s="10">
        <v>0.5</v>
      </c>
      <c r="D3" s="10">
        <v>0.5</v>
      </c>
      <c r="E3" s="7">
        <v>1</v>
      </c>
    </row>
    <row r="4" spans="1:5" x14ac:dyDescent="0.4">
      <c r="A4" s="2">
        <v>45659</v>
      </c>
      <c r="B4" s="12">
        <f>A4</f>
        <v>45659</v>
      </c>
      <c r="C4" s="10">
        <v>0.5</v>
      </c>
      <c r="D4" s="10">
        <v>0.5</v>
      </c>
      <c r="E4" s="7">
        <f xml:space="preserve"> $C4 * Prices!$D3 + $D4 * Prices!$E3</f>
        <v>0.95500000000000007</v>
      </c>
    </row>
    <row r="5" spans="1:5" x14ac:dyDescent="0.4">
      <c r="A5" s="2">
        <v>45660</v>
      </c>
      <c r="B5" s="12">
        <f>A5</f>
        <v>45660</v>
      </c>
      <c r="C5" s="10">
        <f>(C4 * Prices!D3) / $E4</f>
        <v>0.52879581151832455</v>
      </c>
      <c r="D5" s="10">
        <f>(D4 * Prices!E3) / $E4</f>
        <v>0.47120418848167539</v>
      </c>
      <c r="E5" s="7">
        <f xml:space="preserve"> $C5 * Prices!$D4 + $D5 * Prices!$E4</f>
        <v>1.0575916230366491</v>
      </c>
    </row>
    <row r="6" spans="1:5" x14ac:dyDescent="0.4">
      <c r="A6" s="2">
        <v>45661</v>
      </c>
      <c r="B6" s="12">
        <f>A6</f>
        <v>45661</v>
      </c>
      <c r="C6" s="10">
        <f>(C5 * Prices!D4) / $E5</f>
        <v>0.50495049504950495</v>
      </c>
      <c r="D6" s="10">
        <f>(D5 * Prices!E4) / E5</f>
        <v>0.4950495049504951</v>
      </c>
      <c r="E6" s="7">
        <f xml:space="preserve"> $C6 * Prices!$D5 + $D6 * Prices!$E5</f>
        <v>0.95544554455445552</v>
      </c>
    </row>
    <row r="7" spans="1:5" x14ac:dyDescent="0.4">
      <c r="A7" s="2">
        <v>45662</v>
      </c>
      <c r="B7" s="12">
        <f>A7</f>
        <v>45662</v>
      </c>
      <c r="C7" s="10">
        <f>(C6 * Prices!D5) / $E6</f>
        <v>0.53367875647668395</v>
      </c>
      <c r="D7" s="10">
        <f>(D6 * Prices!E5) / E6</f>
        <v>0.46632124352331611</v>
      </c>
      <c r="E7" s="7">
        <f xml:space="preserve"> $C7 * Prices!$D6 + $D7 * Prices!$E6</f>
        <v>1.0569948186528499</v>
      </c>
    </row>
    <row r="8" spans="1:5" x14ac:dyDescent="0.4">
      <c r="A8" s="2">
        <v>45663</v>
      </c>
      <c r="B8" s="13">
        <f>A8</f>
        <v>45663</v>
      </c>
      <c r="C8" s="9">
        <v>0.5</v>
      </c>
      <c r="D8" s="9">
        <v>0.5</v>
      </c>
      <c r="E8" s="7">
        <f xml:space="preserve"> $C8 * Prices!$D7 + $D8 * Prices!$E7</f>
        <v>0.95480769230769225</v>
      </c>
    </row>
    <row r="9" spans="1:5" x14ac:dyDescent="0.4">
      <c r="A9" s="2">
        <v>45664</v>
      </c>
      <c r="B9" s="12">
        <f>A9</f>
        <v>45664</v>
      </c>
      <c r="C9" s="10">
        <f>(C8 * Prices!D7) / $E8</f>
        <v>0.52870090634441091</v>
      </c>
      <c r="D9" s="10">
        <f>(D8 * Prices!E7) / E8</f>
        <v>0.47129909365558914</v>
      </c>
      <c r="E9" s="7">
        <f xml:space="preserve"> $C9 * Prices!$D8 + $D9 * Prices!$E8</f>
        <v>1.0574018126888218</v>
      </c>
    </row>
    <row r="10" spans="1:5" x14ac:dyDescent="0.4">
      <c r="A10" s="2">
        <v>45665</v>
      </c>
      <c r="B10" s="12">
        <f>A10</f>
        <v>45665</v>
      </c>
      <c r="C10" s="10">
        <f>(C9 * Prices!D8) / $E9</f>
        <v>0.50476190476190474</v>
      </c>
      <c r="D10" s="10">
        <f>(D9 * Prices!E8) / E9</f>
        <v>0.4952380952380952</v>
      </c>
      <c r="E10" s="7">
        <f xml:space="preserve"> $C10 * Prices!$D9 + $D10 * Prices!$E9</f>
        <v>0.95523809523809522</v>
      </c>
    </row>
    <row r="11" spans="1:5" x14ac:dyDescent="0.4">
      <c r="A11" s="2">
        <v>45666</v>
      </c>
      <c r="B11" s="12">
        <f>A11</f>
        <v>45666</v>
      </c>
      <c r="C11" s="10">
        <f>(C10 * Prices!D9) / $E10</f>
        <v>0.53339980059820546</v>
      </c>
      <c r="D11" s="10">
        <f>(D10 * Prices!E9) / E10</f>
        <v>0.46660019940179459</v>
      </c>
      <c r="E11" s="7">
        <f xml:space="preserve"> $C11 * Prices!$D10 + $D11 * Prices!$E10</f>
        <v>1.0568295114656032</v>
      </c>
    </row>
    <row r="12" spans="1:5" x14ac:dyDescent="0.4">
      <c r="A12" s="2">
        <v>45667</v>
      </c>
      <c r="B12" s="12">
        <f>A12</f>
        <v>45667</v>
      </c>
      <c r="C12" s="10">
        <f>(C11 * Prices!D10) / $E11</f>
        <v>0.50943396226415094</v>
      </c>
      <c r="D12" s="10">
        <f>(D11 * Prices!E10) / E11</f>
        <v>0.49056603773584906</v>
      </c>
      <c r="E12" s="7">
        <f xml:space="preserve"> $C12 * Prices!$D11 + $D12 * Prices!$E11</f>
        <v>0.95566037735849063</v>
      </c>
    </row>
    <row r="13" spans="1:5" x14ac:dyDescent="0.4">
      <c r="A13" s="2">
        <v>45668</v>
      </c>
      <c r="B13" s="12">
        <f>A13</f>
        <v>45668</v>
      </c>
      <c r="C13" s="10">
        <f>(C12 * Prices!D11) / $E12</f>
        <v>0.53800592300098715</v>
      </c>
      <c r="D13" s="10">
        <f>(D12 * Prices!E11) / E12</f>
        <v>0.46199407699901279</v>
      </c>
      <c r="E13" s="7">
        <f xml:space="preserve"> $C13 * Prices!$D12 + $D13 * Prices!$E12</f>
        <v>1.0562685093780848</v>
      </c>
    </row>
    <row r="14" spans="1:5" x14ac:dyDescent="0.4">
      <c r="A14" s="2">
        <v>45669</v>
      </c>
      <c r="B14" s="12">
        <f>A14</f>
        <v>45669</v>
      </c>
      <c r="C14" s="10">
        <f>(C13 * Prices!D12) / $E13</f>
        <v>0.51401869158878499</v>
      </c>
      <c r="D14" s="10">
        <f>(D13 * Prices!E12) / E13</f>
        <v>0.48598130841121495</v>
      </c>
      <c r="E14" s="7">
        <f xml:space="preserve"> $C14 * Prices!$D13 + $D14 * Prices!$E13</f>
        <v>0.9560747663551401</v>
      </c>
    </row>
    <row r="15" spans="1:5" x14ac:dyDescent="0.4">
      <c r="A15" s="2">
        <v>45670</v>
      </c>
      <c r="B15" s="13">
        <f>A15</f>
        <v>45670</v>
      </c>
      <c r="C15" s="9">
        <v>0.5</v>
      </c>
      <c r="D15" s="9">
        <v>0.5</v>
      </c>
      <c r="E15" s="7">
        <f xml:space="preserve"> $C15 * Prices!$D14 + $D15 * Prices!$E14</f>
        <v>1.06006006006006</v>
      </c>
    </row>
    <row r="16" spans="1:5" x14ac:dyDescent="0.4">
      <c r="A16" s="2">
        <v>45671</v>
      </c>
      <c r="B16" s="12">
        <f>A16</f>
        <v>45671</v>
      </c>
      <c r="C16" s="10">
        <f>(C15 * Prices!D14) / $E15</f>
        <v>0.47592067988668552</v>
      </c>
      <c r="D16" s="10">
        <f>(D15 * Prices!E14) / E15</f>
        <v>0.52407932011331448</v>
      </c>
      <c r="E16" s="7">
        <f xml:space="preserve"> $C16 * Prices!$D15 + $D16 * Prices!$E15</f>
        <v>0.95184135977337103</v>
      </c>
    </row>
    <row r="17" spans="1:5" x14ac:dyDescent="0.4">
      <c r="A17" s="2">
        <v>45672</v>
      </c>
      <c r="B17" s="12">
        <f>A17</f>
        <v>45672</v>
      </c>
      <c r="C17" s="10">
        <f>(C16 * Prices!D15) / $E16</f>
        <v>0.5044642857142857</v>
      </c>
      <c r="D17" s="10">
        <f>(D16 * Prices!E15) / E16</f>
        <v>0.49553571428571436</v>
      </c>
      <c r="E17" s="7">
        <f xml:space="preserve"> $C17 * Prices!$D16 + $D17 * Prices!$E16</f>
        <v>1.0595238095238098</v>
      </c>
    </row>
    <row r="18" spans="1:5" x14ac:dyDescent="0.4">
      <c r="A18" s="2">
        <v>45673</v>
      </c>
      <c r="B18" s="12">
        <f>A18</f>
        <v>45673</v>
      </c>
      <c r="C18" s="10">
        <f>(C17 * Prices!D16) / $E17</f>
        <v>0.48033707865168523</v>
      </c>
      <c r="D18" s="10">
        <f>(D17 * Prices!E16) / E17</f>
        <v>0.5196629213483146</v>
      </c>
      <c r="E18" s="7">
        <f xml:space="preserve"> $C18 * Prices!$D17 + $D18 * Prices!$E17</f>
        <v>0.95224719101123578</v>
      </c>
    </row>
    <row r="19" spans="1:5" x14ac:dyDescent="0.4">
      <c r="A19" s="2">
        <v>45674</v>
      </c>
      <c r="B19" s="12">
        <f>A19</f>
        <v>45674</v>
      </c>
      <c r="C19" s="10">
        <f>(C18 * Prices!D17) / $E18</f>
        <v>0.50884955752212391</v>
      </c>
      <c r="D19" s="10">
        <f>(D18 * Prices!E17) / E18</f>
        <v>0.4911504424778762</v>
      </c>
      <c r="E19" s="7">
        <f xml:space="preserve"> $C19 * Prices!$D18 + $D19 * Prices!$E18</f>
        <v>1.0589970501474928</v>
      </c>
    </row>
    <row r="20" spans="1:5" x14ac:dyDescent="0.4">
      <c r="A20" s="2">
        <v>45675</v>
      </c>
      <c r="B20" s="12">
        <f>A20</f>
        <v>45675</v>
      </c>
      <c r="C20" s="10">
        <f>(C19 * Prices!D18) / $E19</f>
        <v>0.48467966573816151</v>
      </c>
      <c r="D20" s="10">
        <f>(D19 * Prices!E18) / E19</f>
        <v>0.51532033426183854</v>
      </c>
      <c r="E20" s="7">
        <f xml:space="preserve"> $C20 * Prices!$D19 + $D20 * Prices!$E19</f>
        <v>0.9526462395543176</v>
      </c>
    </row>
    <row r="21" spans="1:5" x14ac:dyDescent="0.4">
      <c r="A21" s="2">
        <v>45676</v>
      </c>
      <c r="B21" s="12">
        <f>A21</f>
        <v>45676</v>
      </c>
      <c r="C21" s="10">
        <f>(C20 * Prices!D19) / $E20</f>
        <v>0.51315789473684204</v>
      </c>
      <c r="D21" s="10">
        <f>(D20 * Prices!E19) / E20</f>
        <v>0.48684210526315796</v>
      </c>
      <c r="E21" s="7">
        <f xml:space="preserve"> $C21 * Prices!$D20 + $D21 * Prices!$E20</f>
        <v>1.0584795321637426</v>
      </c>
    </row>
    <row r="22" spans="1:5" x14ac:dyDescent="0.4">
      <c r="A22" s="2">
        <v>45677</v>
      </c>
      <c r="B22" s="13">
        <f>A22</f>
        <v>45677</v>
      </c>
      <c r="C22" s="9">
        <v>0.5</v>
      </c>
      <c r="D22" s="9">
        <v>0.5</v>
      </c>
      <c r="E22" s="7">
        <f xml:space="preserve"> $C22 * Prices!$D21 + $D22 * Prices!$E21</f>
        <v>0.95423728813559316</v>
      </c>
    </row>
    <row r="23" spans="1:5" x14ac:dyDescent="0.4">
      <c r="A23" s="2">
        <v>45678</v>
      </c>
      <c r="B23" s="12">
        <f>A23</f>
        <v>45678</v>
      </c>
      <c r="C23" s="10">
        <f>(C22 * Prices!D21) / $E22</f>
        <v>0.52841918294849022</v>
      </c>
      <c r="D23" s="10">
        <f>(D22 * Prices!E21) / E22</f>
        <v>0.47158081705150978</v>
      </c>
      <c r="E23" s="7">
        <f xml:space="preserve"> $C23 * Prices!$D22 + $D23 * Prices!$E22</f>
        <v>1.0568383658969807</v>
      </c>
    </row>
    <row r="24" spans="1:5" x14ac:dyDescent="0.4">
      <c r="A24" s="2">
        <v>45679</v>
      </c>
      <c r="B24" s="12">
        <f>A24</f>
        <v>45679</v>
      </c>
      <c r="C24" s="10">
        <f>(C23 * Prices!D22) / $E23</f>
        <v>0.50420168067226878</v>
      </c>
      <c r="D24" s="10">
        <f>(D23 * Prices!E22) / E23</f>
        <v>0.49579831932773105</v>
      </c>
      <c r="E24" s="7">
        <f xml:space="preserve"> $C24 * Prices!$D23 + $D24 * Prices!$E23</f>
        <v>0.95462184873949563</v>
      </c>
    </row>
    <row r="25" spans="1:5" x14ac:dyDescent="0.4">
      <c r="A25" s="2">
        <v>45680</v>
      </c>
      <c r="B25" s="12">
        <f>A25</f>
        <v>45680</v>
      </c>
      <c r="C25" s="10">
        <f>(C24 * Prices!D23) / $E24</f>
        <v>0.53257042253521125</v>
      </c>
      <c r="D25" s="10">
        <f>(D24 * Prices!E23) / E24</f>
        <v>0.4674295774647888</v>
      </c>
      <c r="E25" s="7">
        <f xml:space="preserve"> $C25 * Prices!$D24 + $D25 * Prices!$E24</f>
        <v>1.0563380281690142</v>
      </c>
    </row>
    <row r="26" spans="1:5" x14ac:dyDescent="0.4">
      <c r="A26" s="2">
        <v>45681</v>
      </c>
      <c r="B26" s="12">
        <f>A26</f>
        <v>45681</v>
      </c>
      <c r="C26" s="10">
        <f>(C25 * Prices!D24) / $E25</f>
        <v>0.5083333333333333</v>
      </c>
      <c r="D26" s="10">
        <f>(D25 * Prices!E24) / E25</f>
        <v>0.49166666666666675</v>
      </c>
      <c r="E26" s="7">
        <f xml:space="preserve"> $C26 * Prices!$D25 + $D26 * Prices!$E25</f>
        <v>0.95500000000000007</v>
      </c>
    </row>
    <row r="27" spans="1:5" x14ac:dyDescent="0.4">
      <c r="A27" s="2">
        <v>45682</v>
      </c>
      <c r="B27" s="12">
        <f>A27</f>
        <v>45682</v>
      </c>
      <c r="C27" s="10">
        <f>(C26 * Prices!D25) / $E26</f>
        <v>0.53664921465968574</v>
      </c>
      <c r="D27" s="10">
        <f>(D26 * Prices!E25) / E26</f>
        <v>0.46335078534031415</v>
      </c>
      <c r="E27" s="7">
        <f xml:space="preserve"> $C27 * Prices!$D26 + $D27 * Prices!$E26</f>
        <v>1.0558464223385688</v>
      </c>
    </row>
    <row r="28" spans="1:5" x14ac:dyDescent="0.4">
      <c r="A28" s="2">
        <v>45683</v>
      </c>
      <c r="B28" s="12">
        <f>A28</f>
        <v>45683</v>
      </c>
      <c r="C28" s="10">
        <f>(C27 * Prices!D26) / $E27</f>
        <v>0.51239669421487588</v>
      </c>
      <c r="D28" s="10">
        <f>(D27 * Prices!E26) / E27</f>
        <v>0.48760330578512406</v>
      </c>
      <c r="E28" s="7">
        <f xml:space="preserve"> $C28 * Prices!$D27 + $D28 * Prices!$E27</f>
        <v>0.95537190082644619</v>
      </c>
    </row>
    <row r="29" spans="1:5" x14ac:dyDescent="0.4">
      <c r="A29" s="2">
        <v>45684</v>
      </c>
      <c r="B29" s="13">
        <f>A29</f>
        <v>45684</v>
      </c>
      <c r="C29" s="9">
        <v>0.5</v>
      </c>
      <c r="D29" s="9">
        <v>0.5</v>
      </c>
      <c r="E29" s="7">
        <f xml:space="preserve"> $C29 * Prices!$D28 + $D29 * Prices!$E28</f>
        <v>1.0595555555555556</v>
      </c>
    </row>
    <row r="30" spans="1:5" x14ac:dyDescent="0.4">
      <c r="A30" s="2">
        <v>45685</v>
      </c>
      <c r="B30" s="12">
        <f>A30</f>
        <v>45685</v>
      </c>
      <c r="C30" s="10">
        <f>(C29 * Prices!D28) / $E29</f>
        <v>0.47567114093959728</v>
      </c>
      <c r="D30" s="10">
        <f>(D29 * Prices!E28) / E29</f>
        <v>0.52432885906040272</v>
      </c>
      <c r="E30" s="7">
        <f xml:space="preserve"> $C30 * Prices!$D29 + $D30 * Prices!$E29</f>
        <v>0.95134228187919456</v>
      </c>
    </row>
    <row r="31" spans="1:5" x14ac:dyDescent="0.4">
      <c r="A31" s="2">
        <v>45686</v>
      </c>
      <c r="B31" s="12">
        <f>A31</f>
        <v>45686</v>
      </c>
      <c r="C31" s="10">
        <f>(C30 * Prices!D29) / $E30</f>
        <v>0.50396825396825395</v>
      </c>
      <c r="D31" s="10">
        <f>(D30 * Prices!E29) / E30</f>
        <v>0.4960317460317461</v>
      </c>
      <c r="E31" s="7">
        <f xml:space="preserve"> $C31 * Prices!$D30 + $D31 * Prices!$E30</f>
        <v>1.0590828924162259</v>
      </c>
    </row>
    <row r="32" spans="1:5" x14ac:dyDescent="0.4">
      <c r="A32" s="2">
        <v>45687</v>
      </c>
      <c r="B32" s="12">
        <f>A32</f>
        <v>45687</v>
      </c>
      <c r="C32" s="10">
        <f>(C31 * Prices!D30) / $E31</f>
        <v>0.47960033305578675</v>
      </c>
      <c r="D32" s="10">
        <f>(D31 * Prices!E30) / E31</f>
        <v>0.52039966694421314</v>
      </c>
      <c r="E32" s="7">
        <f xml:space="preserve"> $C32 * Prices!$D31 + $D32 * Prices!$E31</f>
        <v>0.95170691090757686</v>
      </c>
    </row>
    <row r="33" spans="1:5" x14ac:dyDescent="0.4">
      <c r="A33" s="2">
        <v>45688</v>
      </c>
      <c r="B33" s="12">
        <f>A33</f>
        <v>45688</v>
      </c>
      <c r="C33" s="10">
        <f>(C32 * Prices!D31) / $E32</f>
        <v>0.50787401574803148</v>
      </c>
      <c r="D33" s="10">
        <f>(D32 * Prices!E31) / E32</f>
        <v>0.49212598425196857</v>
      </c>
      <c r="E33" s="7">
        <f xml:space="preserve"> $C33 * Prices!$D32 + $D33 * Prices!$E32</f>
        <v>1.0586176727909011</v>
      </c>
    </row>
    <row r="34" spans="1:5" x14ac:dyDescent="0.4">
      <c r="A34" s="2">
        <v>45689</v>
      </c>
      <c r="B34" s="12">
        <f>A34</f>
        <v>45689</v>
      </c>
      <c r="C34" s="10">
        <f>(C33 * Prices!D32) / $E33</f>
        <v>0.48347107438016529</v>
      </c>
      <c r="D34" s="10">
        <f>(D33 * Prices!E32) / E33</f>
        <v>0.51652892561983488</v>
      </c>
      <c r="E34" s="7">
        <f xml:space="preserve"> $C34 * Prices!$D33 + $D34 * Prices!$E33</f>
        <v>0.95206611570247945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8070-11EC-4D5B-882F-63D06BDC939E}">
  <dimension ref="A1:B33"/>
  <sheetViews>
    <sheetView zoomScale="205" zoomScaleNormal="205" workbookViewId="0">
      <selection activeCell="B2" sqref="B2"/>
    </sheetView>
  </sheetViews>
  <sheetFormatPr defaultRowHeight="14.6" x14ac:dyDescent="0.4"/>
  <cols>
    <col min="1" max="1" width="10.07421875" bestFit="1" customWidth="1"/>
    <col min="2" max="2" width="9.23046875" style="7"/>
  </cols>
  <sheetData>
    <row r="1" spans="1:2" x14ac:dyDescent="0.4">
      <c r="A1" s="1" t="s">
        <v>13</v>
      </c>
      <c r="B1" s="6" t="s">
        <v>14</v>
      </c>
    </row>
    <row r="2" spans="1:2" x14ac:dyDescent="0.4">
      <c r="A2" s="2">
        <v>45658</v>
      </c>
      <c r="B2" s="7">
        <v>1</v>
      </c>
    </row>
    <row r="3" spans="1:2" x14ac:dyDescent="0.4">
      <c r="A3" s="2">
        <v>45659</v>
      </c>
      <c r="B3" s="7">
        <f>B2 * Expected_Weights!E4</f>
        <v>0.95500000000000007</v>
      </c>
    </row>
    <row r="4" spans="1:2" x14ac:dyDescent="0.4">
      <c r="A4" s="2">
        <v>45660</v>
      </c>
      <c r="B4" s="7">
        <f>B3 * Expected_Weights!E5</f>
        <v>1.01</v>
      </c>
    </row>
    <row r="5" spans="1:2" x14ac:dyDescent="0.4">
      <c r="A5" s="2">
        <v>45661</v>
      </c>
      <c r="B5" s="7">
        <f>B4 * Expected_Weights!E6</f>
        <v>0.96500000000000008</v>
      </c>
    </row>
    <row r="6" spans="1:2" x14ac:dyDescent="0.4">
      <c r="A6" s="2">
        <v>45662</v>
      </c>
      <c r="B6" s="7">
        <f>B5 * Expected_Weights!E7</f>
        <v>1.0200000000000002</v>
      </c>
    </row>
    <row r="7" spans="1:2" x14ac:dyDescent="0.4">
      <c r="A7" s="2">
        <v>45663</v>
      </c>
      <c r="B7" s="7">
        <f>B6 * Expected_Weights!E8</f>
        <v>0.97390384615384629</v>
      </c>
    </row>
    <row r="8" spans="1:2" x14ac:dyDescent="0.4">
      <c r="A8" s="2">
        <v>45664</v>
      </c>
      <c r="B8" s="7">
        <f>B7 * Expected_Weights!E9</f>
        <v>1.0298076923076924</v>
      </c>
    </row>
    <row r="9" spans="1:2" x14ac:dyDescent="0.4">
      <c r="A9" s="2">
        <v>45665</v>
      </c>
      <c r="B9" s="7">
        <f>B8 * Expected_Weights!E10</f>
        <v>0.98371153846153858</v>
      </c>
    </row>
    <row r="10" spans="1:2" x14ac:dyDescent="0.4">
      <c r="A10" s="2">
        <v>45666</v>
      </c>
      <c r="B10" s="7">
        <f>B9 * Expected_Weights!E11</f>
        <v>1.0396153846153848</v>
      </c>
    </row>
    <row r="11" spans="1:2" x14ac:dyDescent="0.4">
      <c r="A11" s="2">
        <v>45667</v>
      </c>
      <c r="B11" s="7">
        <f>B10 * Expected_Weights!E12</f>
        <v>0.99351923076923099</v>
      </c>
    </row>
    <row r="12" spans="1:2" x14ac:dyDescent="0.4">
      <c r="A12" s="2">
        <v>45668</v>
      </c>
      <c r="B12" s="7">
        <f>B11 * Expected_Weights!E13</f>
        <v>1.049423076923077</v>
      </c>
    </row>
    <row r="13" spans="1:2" x14ac:dyDescent="0.4">
      <c r="A13" s="2">
        <v>45669</v>
      </c>
      <c r="B13" s="7">
        <f>B12 * Expected_Weights!E14</f>
        <v>1.0033269230769231</v>
      </c>
    </row>
    <row r="14" spans="1:2" x14ac:dyDescent="0.4">
      <c r="A14" s="2">
        <v>45670</v>
      </c>
      <c r="B14" s="7">
        <f>B13 * Expected_Weights!E15</f>
        <v>1.0635867983367984</v>
      </c>
    </row>
    <row r="15" spans="1:2" x14ac:dyDescent="0.4">
      <c r="A15" s="2">
        <v>45671</v>
      </c>
      <c r="B15" s="7">
        <f>B14 * Expected_Weights!E16</f>
        <v>1.0123659043659043</v>
      </c>
    </row>
    <row r="16" spans="1:2" x14ac:dyDescent="0.4">
      <c r="A16" s="2">
        <v>45672</v>
      </c>
      <c r="B16" s="7">
        <f>B15 * Expected_Weights!E17</f>
        <v>1.0726257796257799</v>
      </c>
    </row>
    <row r="17" spans="1:2" x14ac:dyDescent="0.4">
      <c r="A17" s="2">
        <v>45673</v>
      </c>
      <c r="B17" s="7">
        <f>B16 * Expected_Weights!E18</f>
        <v>1.0214048856548856</v>
      </c>
    </row>
    <row r="18" spans="1:2" x14ac:dyDescent="0.4">
      <c r="A18" s="2">
        <v>45674</v>
      </c>
      <c r="B18" s="7">
        <f>B17 * Expected_Weights!E19</f>
        <v>1.0816647609147612</v>
      </c>
    </row>
    <row r="19" spans="1:2" x14ac:dyDescent="0.4">
      <c r="A19" s="2">
        <v>45675</v>
      </c>
      <c r="B19" s="7">
        <f>B18 * Expected_Weights!E20</f>
        <v>1.0304438669438671</v>
      </c>
    </row>
    <row r="20" spans="1:2" x14ac:dyDescent="0.4">
      <c r="A20" s="2">
        <v>45676</v>
      </c>
      <c r="B20" s="7">
        <f>B19 * Expected_Weights!E21</f>
        <v>1.0907037422037422</v>
      </c>
    </row>
    <row r="21" spans="1:2" x14ac:dyDescent="0.4">
      <c r="A21" s="2">
        <v>45677</v>
      </c>
      <c r="B21" s="7">
        <f>B20 * Expected_Weights!E22</f>
        <v>1.0407901811198421</v>
      </c>
    </row>
    <row r="22" spans="1:2" x14ac:dyDescent="0.4">
      <c r="A22" s="2">
        <v>45678</v>
      </c>
      <c r="B22" s="7">
        <f>B21 * Expected_Weights!E23</f>
        <v>1.0999469942563165</v>
      </c>
    </row>
    <row r="23" spans="1:2" x14ac:dyDescent="0.4">
      <c r="A23" s="2">
        <v>45679</v>
      </c>
      <c r="B23" s="7">
        <f>B22 * Expected_Weights!E24</f>
        <v>1.0500334331724162</v>
      </c>
    </row>
    <row r="24" spans="1:2" x14ac:dyDescent="0.4">
      <c r="A24" s="2">
        <v>45680</v>
      </c>
      <c r="B24" s="7">
        <f>B23 * Expected_Weights!E25</f>
        <v>1.1091902463088905</v>
      </c>
    </row>
    <row r="25" spans="1:2" x14ac:dyDescent="0.4">
      <c r="A25" s="2">
        <v>45681</v>
      </c>
      <c r="B25" s="7">
        <f>B24 * Expected_Weights!E26</f>
        <v>1.0592766852249904</v>
      </c>
    </row>
    <row r="26" spans="1:2" x14ac:dyDescent="0.4">
      <c r="A26" s="2">
        <v>45682</v>
      </c>
      <c r="B26" s="7">
        <f>B25 * Expected_Weights!E27</f>
        <v>1.1184334983614646</v>
      </c>
    </row>
    <row r="27" spans="1:2" x14ac:dyDescent="0.4">
      <c r="A27" s="2">
        <v>45683</v>
      </c>
      <c r="B27" s="7">
        <f>B26 * Expected_Weights!E28</f>
        <v>1.0685199372775644</v>
      </c>
    </row>
    <row r="28" spans="1:2" x14ac:dyDescent="0.4">
      <c r="A28" s="2">
        <v>45684</v>
      </c>
      <c r="B28" s="7">
        <f>B27 * Expected_Weights!E29</f>
        <v>1.1321562357643171</v>
      </c>
    </row>
    <row r="29" spans="1:2" x14ac:dyDescent="0.4">
      <c r="A29" s="2">
        <v>45685</v>
      </c>
      <c r="B29" s="7">
        <f>B28 * Expected_Weights!E30</f>
        <v>1.0770680967757849</v>
      </c>
    </row>
    <row r="30" spans="1:2" x14ac:dyDescent="0.4">
      <c r="A30" s="2">
        <v>45686</v>
      </c>
      <c r="B30" s="7">
        <f>B29 * Expected_Weights!E31</f>
        <v>1.1407043952625378</v>
      </c>
    </row>
    <row r="31" spans="1:2" x14ac:dyDescent="0.4">
      <c r="A31" s="2">
        <v>45687</v>
      </c>
      <c r="B31" s="7">
        <f>B30 * Expected_Weights!E32</f>
        <v>1.0856162562740053</v>
      </c>
    </row>
    <row r="32" spans="1:2" x14ac:dyDescent="0.4">
      <c r="A32" s="2">
        <v>45688</v>
      </c>
      <c r="B32" s="7">
        <f>B31 * Expected_Weights!E33</f>
        <v>1.1492525547607579</v>
      </c>
    </row>
    <row r="33" spans="1:2" x14ac:dyDescent="0.4">
      <c r="A33" s="2">
        <v>45689</v>
      </c>
      <c r="B33" s="7">
        <f>B32 * Expected_Weights!E34</f>
        <v>1.0941644157722259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66B4-691D-4E6C-9B58-26BA46864B57}">
  <dimension ref="A1:N2"/>
  <sheetViews>
    <sheetView zoomScale="205" zoomScaleNormal="205" workbookViewId="0">
      <selection activeCell="A3" sqref="A3"/>
    </sheetView>
  </sheetViews>
  <sheetFormatPr defaultRowHeight="14.6" x14ac:dyDescent="0.4"/>
  <cols>
    <col min="1" max="1" width="8.07421875" bestFit="1" customWidth="1"/>
    <col min="2" max="3" width="10.07421875" bestFit="1" customWidth="1"/>
    <col min="4" max="4" width="8.53515625" bestFit="1" customWidth="1"/>
    <col min="5" max="5" width="7.61328125" bestFit="1" customWidth="1"/>
    <col min="6" max="6" width="13.23046875" style="5" bestFit="1" customWidth="1"/>
    <col min="7" max="7" width="7.53515625" style="5" bestFit="1" customWidth="1"/>
    <col min="8" max="8" width="10.15234375" style="5" bestFit="1" customWidth="1"/>
    <col min="9" max="9" width="6.61328125" style="5" bestFit="1" customWidth="1"/>
    <col min="10" max="10" width="6.84375" bestFit="1" customWidth="1"/>
    <col min="11" max="11" width="16.07421875" style="5" bestFit="1" customWidth="1"/>
    <col min="12" max="12" width="15.4609375" style="5" bestFit="1" customWidth="1"/>
    <col min="13" max="13" width="20.07421875" bestFit="1" customWidth="1"/>
  </cols>
  <sheetData>
    <row r="1" spans="1:14" x14ac:dyDescent="0.4">
      <c r="A1" s="1"/>
      <c r="B1" s="1" t="s">
        <v>17</v>
      </c>
      <c r="C1" s="1" t="s">
        <v>18</v>
      </c>
      <c r="D1" s="1" t="s">
        <v>19</v>
      </c>
      <c r="E1" s="1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1" t="s">
        <v>25</v>
      </c>
      <c r="K1" s="4" t="s">
        <v>26</v>
      </c>
      <c r="L1" s="4" t="s">
        <v>27</v>
      </c>
      <c r="M1" s="1" t="s">
        <v>28</v>
      </c>
      <c r="N1" s="1"/>
    </row>
    <row r="2" spans="1:14" x14ac:dyDescent="0.4">
      <c r="A2" t="s">
        <v>14</v>
      </c>
      <c r="B2" s="2">
        <v>45658</v>
      </c>
      <c r="C2" s="2">
        <v>45689</v>
      </c>
      <c r="D2" s="8" t="s">
        <v>35</v>
      </c>
      <c r="E2" t="s">
        <v>29</v>
      </c>
      <c r="F2" s="5">
        <v>9.42</v>
      </c>
      <c r="G2" s="5">
        <v>188.72</v>
      </c>
      <c r="H2" s="5">
        <v>82.08</v>
      </c>
      <c r="I2" s="5">
        <v>1.26</v>
      </c>
      <c r="J2">
        <v>2.0099999999999998</v>
      </c>
      <c r="K2" s="5">
        <v>-4.87</v>
      </c>
      <c r="L2" s="5">
        <v>-4.5999999999999996</v>
      </c>
      <c r="M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Assets</vt:lpstr>
      <vt:lpstr>Prices</vt:lpstr>
      <vt:lpstr>Portfolios</vt:lpstr>
      <vt:lpstr>Expected_Weights</vt:lpstr>
      <vt:lpstr>Expected_Values</vt:lpstr>
      <vt:lpstr>Expected_Stats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Kello</dc:creator>
  <cp:lastModifiedBy>Jonas Kello</cp:lastModifiedBy>
  <dcterms:created xsi:type="dcterms:W3CDTF">2015-06-05T18:17:20Z</dcterms:created>
  <dcterms:modified xsi:type="dcterms:W3CDTF">2026-04-22T12:59:36Z</dcterms:modified>
</cp:coreProperties>
</file>