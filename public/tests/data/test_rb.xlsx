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1D66FDE7-A9E5-4FD4-8423-BAAF63AC6D7B}" xr6:coauthVersionLast="47" xr6:coauthVersionMax="47" xr10:uidLastSave="{00000000-0000-0000-0000-000000000000}"/>
  <bookViews>
    <workbookView xWindow="-103" yWindow="-103" windowWidth="33120" windowHeight="18000" activeTab="6" xr2:uid="{00000000-000D-0000-FFFF-FFFF00000000}"/>
  </bookViews>
  <sheets>
    <sheet name="Main" sheetId="1" r:id="rId1"/>
    <sheet name="Portfolios" sheetId="2" r:id="rId2"/>
    <sheet name="Assets" sheetId="4" r:id="rId3"/>
    <sheet name="Prices" sheetId="5" r:id="rId4"/>
    <sheet name="Expected_Weights" sheetId="7" r:id="rId5"/>
    <sheet name="Expected_Values" sheetId="6" r:id="rId6"/>
    <sheet name="Expected_Stat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5" l="1"/>
  <c r="E32" i="5"/>
  <c r="D33" i="5"/>
  <c r="E33" i="5"/>
  <c r="D20" i="5"/>
  <c r="E20" i="5"/>
  <c r="D21" i="5"/>
  <c r="F22" i="7" s="1"/>
  <c r="E21" i="5"/>
  <c r="D22" i="5"/>
  <c r="E22" i="5"/>
  <c r="D23" i="5"/>
  <c r="E23" i="5"/>
  <c r="D24" i="5"/>
  <c r="E24" i="5"/>
  <c r="D25" i="5"/>
  <c r="E25" i="5"/>
  <c r="D26" i="5"/>
  <c r="E26" i="5"/>
  <c r="D27" i="5"/>
  <c r="E27" i="5"/>
  <c r="D28" i="5"/>
  <c r="E28" i="5"/>
  <c r="D29" i="5"/>
  <c r="E29" i="5"/>
  <c r="D30" i="5"/>
  <c r="E30" i="5"/>
  <c r="D31" i="5"/>
  <c r="E31" i="5"/>
  <c r="D11" i="5"/>
  <c r="E11" i="5"/>
  <c r="D12" i="5"/>
  <c r="E12" i="5"/>
  <c r="D13" i="5"/>
  <c r="E13" i="5"/>
  <c r="D14" i="5"/>
  <c r="E14" i="5"/>
  <c r="D15" i="5"/>
  <c r="E15" i="5"/>
  <c r="D16" i="5"/>
  <c r="E16" i="5"/>
  <c r="D17" i="5"/>
  <c r="E17" i="5"/>
  <c r="D18" i="5"/>
  <c r="E18" i="5"/>
  <c r="D19" i="5"/>
  <c r="E19" i="5"/>
  <c r="E4" i="5"/>
  <c r="E5" i="5"/>
  <c r="E6" i="5"/>
  <c r="E7" i="5"/>
  <c r="E8" i="5"/>
  <c r="E9" i="5"/>
  <c r="E10" i="5"/>
  <c r="E3" i="5"/>
  <c r="D4" i="5"/>
  <c r="D5" i="5"/>
  <c r="D6" i="5"/>
  <c r="D7" i="5"/>
  <c r="F8" i="7" s="1"/>
  <c r="D8" i="5"/>
  <c r="D9" i="5"/>
  <c r="D10" i="5"/>
  <c r="D3" i="5"/>
  <c r="F4" i="7" s="1"/>
  <c r="D3" i="6" s="1"/>
  <c r="F29" i="7" l="1"/>
  <c r="F15" i="7"/>
  <c r="D23" i="7"/>
  <c r="E23" i="7"/>
  <c r="D30" i="7"/>
  <c r="E30" i="7"/>
  <c r="D9" i="7"/>
  <c r="E9" i="7"/>
  <c r="D5" i="7"/>
  <c r="F5" i="7" s="1"/>
  <c r="E5" i="7"/>
  <c r="D16" i="7" l="1"/>
  <c r="F16" i="7" s="1"/>
  <c r="E16" i="7"/>
  <c r="F23" i="7"/>
  <c r="F9" i="7"/>
  <c r="E6" i="7"/>
  <c r="D4" i="6"/>
  <c r="F30" i="7"/>
  <c r="D6" i="7"/>
  <c r="E24" i="7" l="1"/>
  <c r="D24" i="7"/>
  <c r="F6" i="7"/>
  <c r="D5" i="6" s="1"/>
  <c r="E10" i="7"/>
  <c r="D10" i="7"/>
  <c r="F10" i="7" s="1"/>
  <c r="E31" i="7"/>
  <c r="D31" i="7"/>
  <c r="E17" i="7"/>
  <c r="D17" i="7"/>
  <c r="E7" i="7"/>
  <c r="D7" i="7"/>
  <c r="E11" i="7" l="1"/>
  <c r="D11" i="7"/>
  <c r="F7" i="7"/>
  <c r="D6" i="6" s="1"/>
  <c r="D7" i="6" s="1"/>
  <c r="D8" i="6" s="1"/>
  <c r="D9" i="6" s="1"/>
  <c r="F17" i="7"/>
  <c r="E18" i="7" s="1"/>
  <c r="D18" i="7"/>
  <c r="F18" i="7" s="1"/>
  <c r="E19" i="7" l="1"/>
  <c r="D19" i="7"/>
  <c r="F11" i="7"/>
  <c r="F19" i="7" l="1"/>
  <c r="D12" i="7"/>
  <c r="D10" i="6"/>
  <c r="E12" i="7"/>
  <c r="D20" i="7" l="1"/>
  <c r="E20" i="7"/>
  <c r="F20" i="7"/>
  <c r="F12" i="7"/>
  <c r="D21" i="7" l="1"/>
  <c r="E21" i="7"/>
  <c r="F21" i="7" s="1"/>
  <c r="D13" i="7"/>
  <c r="D11" i="6"/>
  <c r="E13" i="7"/>
  <c r="F13" i="7" l="1"/>
  <c r="D14" i="7" l="1"/>
  <c r="D12" i="6"/>
  <c r="F24" i="7"/>
  <c r="E14" i="7"/>
  <c r="F14" i="7" l="1"/>
  <c r="D13" i="6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E25" i="7"/>
  <c r="D25" i="7"/>
  <c r="F25" i="7" l="1"/>
  <c r="D26" i="7" l="1"/>
  <c r="D24" i="6"/>
  <c r="E26" i="7"/>
  <c r="F26" i="7" l="1"/>
  <c r="D25" i="6" s="1"/>
  <c r="E27" i="7" l="1"/>
  <c r="D27" i="7"/>
  <c r="F27" i="7" l="1"/>
  <c r="D26" i="6" l="1"/>
  <c r="D28" i="7"/>
  <c r="E28" i="7"/>
  <c r="F28" i="7"/>
  <c r="D27" i="6" s="1"/>
  <c r="D28" i="6" s="1"/>
  <c r="D29" i="6" s="1"/>
  <c r="D30" i="6" s="1"/>
  <c r="F31" i="7"/>
  <c r="E32" i="7" l="1"/>
  <c r="D32" i="7"/>
  <c r="F32" i="7" l="1"/>
  <c r="E33" i="7" s="1"/>
  <c r="D31" i="6" l="1"/>
  <c r="D33" i="7"/>
  <c r="F33" i="7" s="1"/>
  <c r="D32" i="6" l="1"/>
  <c r="E34" i="7"/>
  <c r="D34" i="7"/>
  <c r="F34" i="7" l="1"/>
  <c r="D33" i="6" s="1"/>
</calcChain>
</file>

<file path=xl/sharedStrings.xml><?xml version="1.0" encoding="utf-8"?>
<sst xmlns="http://schemas.openxmlformats.org/spreadsheetml/2006/main" count="76" uniqueCount="45">
  <si>
    <t>Name</t>
  </si>
  <si>
    <t>Value</t>
  </si>
  <si>
    <t>currency</t>
  </si>
  <si>
    <t>SEK</t>
  </si>
  <si>
    <t>start</t>
  </si>
  <si>
    <t>end</t>
  </si>
  <si>
    <t>Assets</t>
  </si>
  <si>
    <t>ID</t>
  </si>
  <si>
    <t>A1</t>
  </si>
  <si>
    <t>A2</t>
  </si>
  <si>
    <t>The first asset</t>
  </si>
  <si>
    <t>The second asset</t>
  </si>
  <si>
    <t>Portfolios</t>
  </si>
  <si>
    <t>Date</t>
  </si>
  <si>
    <t>P1</t>
  </si>
  <si>
    <t>P2</t>
  </si>
  <si>
    <t>P3</t>
  </si>
  <si>
    <t>Asset</t>
  </si>
  <si>
    <t>Portfolio</t>
  </si>
  <si>
    <t>Start</t>
  </si>
  <si>
    <t>End</t>
  </si>
  <si>
    <t>RB Check</t>
  </si>
  <si>
    <t>RB Type</t>
  </si>
  <si>
    <t>Total Return %</t>
  </si>
  <si>
    <t>CAGR %</t>
  </si>
  <si>
    <t>Volatility %</t>
  </si>
  <si>
    <t>Sharpe</t>
  </si>
  <si>
    <t>Sortino</t>
  </si>
  <si>
    <t>Max Drawdown %</t>
  </si>
  <si>
    <t>Avg Drawdown %</t>
  </si>
  <si>
    <t>Max Drawdown Period</t>
  </si>
  <si>
    <t>full</t>
  </si>
  <si>
    <t>inf</t>
  </si>
  <si>
    <t>0 days</t>
  </si>
  <si>
    <t>1 days</t>
  </si>
  <si>
    <t>portfolios</t>
  </si>
  <si>
    <t>assets</t>
  </si>
  <si>
    <t>__rb_check</t>
  </si>
  <si>
    <t>__rb_type</t>
  </si>
  <si>
    <t>weekly</t>
  </si>
  <si>
    <t>_A1_grow</t>
  </si>
  <si>
    <t>_A2_grow</t>
  </si>
  <si>
    <t>_grow</t>
  </si>
  <si>
    <t>_P3</t>
  </si>
  <si>
    <t>monthly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</si>
</sst>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9" formatCode="0.0000%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9" fontId="0" fillId="0" borderId="0" xfId="1" applyFont="1"/>
    <xf numFmtId="164" fontId="1" fillId="0" borderId="0" xfId="0" applyNumberFormat="1" applyFont="1"/>
    <xf numFmtId="164" fontId="0" fillId="0" borderId="0" xfId="0" applyNumberFormat="1"/>
    <xf numFmtId="0" fontId="0" fillId="0" borderId="0" xfId="0" applyFont="1"/>
    <xf numFmtId="10" fontId="1" fillId="0" borderId="0" xfId="0" applyNumberFormat="1" applyFont="1"/>
    <xf numFmtId="10" fontId="0" fillId="0" borderId="0" xfId="0" applyNumberFormat="1"/>
    <xf numFmtId="169" fontId="1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="160" zoomScaleNormal="160" workbookViewId="0">
      <selection activeCell="A7" sqref="A7"/>
    </sheetView>
  </sheetViews>
  <sheetFormatPr defaultRowHeight="14.6" x14ac:dyDescent="0.4"/>
  <cols>
    <col min="1" max="1" width="8.8437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35</v>
      </c>
      <c r="B5" t="s">
        <v>12</v>
      </c>
    </row>
    <row r="6" spans="1:2" x14ac:dyDescent="0.4">
      <c r="A6" t="s">
        <v>36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D5"/>
  <sheetViews>
    <sheetView zoomScale="175" zoomScaleNormal="175" workbookViewId="0">
      <selection activeCell="C2" sqref="C2"/>
    </sheetView>
  </sheetViews>
  <sheetFormatPr defaultRowHeight="14.6" x14ac:dyDescent="0.4"/>
  <cols>
    <col min="1" max="1" width="10.3046875" bestFit="1" customWidth="1"/>
  </cols>
  <sheetData>
    <row r="1" spans="1:4" x14ac:dyDescent="0.4">
      <c r="A1" s="1" t="s">
        <v>7</v>
      </c>
      <c r="B1" s="1" t="s">
        <v>14</v>
      </c>
      <c r="C1" s="1" t="s">
        <v>15</v>
      </c>
      <c r="D1" s="1" t="s">
        <v>16</v>
      </c>
    </row>
    <row r="2" spans="1:4" x14ac:dyDescent="0.4">
      <c r="A2" s="1" t="s">
        <v>37</v>
      </c>
      <c r="B2" s="9" t="s">
        <v>39</v>
      </c>
      <c r="C2" s="9" t="s">
        <v>44</v>
      </c>
      <c r="D2" s="9" t="s">
        <v>39</v>
      </c>
    </row>
    <row r="3" spans="1:4" x14ac:dyDescent="0.4">
      <c r="A3" s="1" t="s">
        <v>38</v>
      </c>
      <c r="B3" s="9" t="s">
        <v>31</v>
      </c>
      <c r="C3" s="9" t="s">
        <v>31</v>
      </c>
      <c r="D3" s="9" t="s">
        <v>31</v>
      </c>
    </row>
    <row r="4" spans="1:4" x14ac:dyDescent="0.4">
      <c r="A4" t="s">
        <v>8</v>
      </c>
      <c r="B4" s="3">
        <v>1</v>
      </c>
      <c r="D4" s="3">
        <v>0.5</v>
      </c>
    </row>
    <row r="5" spans="1:4" x14ac:dyDescent="0.4">
      <c r="A5" t="s">
        <v>9</v>
      </c>
      <c r="B5" s="3"/>
      <c r="C5" s="3">
        <v>1</v>
      </c>
      <c r="D5" s="3"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B3"/>
  <sheetViews>
    <sheetView zoomScale="175" zoomScaleNormal="175" workbookViewId="0">
      <selection activeCell="C1" sqref="C1:D1048576"/>
    </sheetView>
  </sheetViews>
  <sheetFormatPr defaultRowHeight="14.6" x14ac:dyDescent="0.4"/>
  <cols>
    <col min="2" max="2" width="14.921875" bestFit="1" customWidth="1"/>
  </cols>
  <sheetData>
    <row r="1" spans="1:2" x14ac:dyDescent="0.4">
      <c r="A1" s="1" t="s">
        <v>7</v>
      </c>
      <c r="B1" s="1" t="s">
        <v>0</v>
      </c>
    </row>
    <row r="2" spans="1:2" x14ac:dyDescent="0.4">
      <c r="A2" t="s">
        <v>8</v>
      </c>
      <c r="B2" t="s">
        <v>10</v>
      </c>
    </row>
    <row r="3" spans="1:2" x14ac:dyDescent="0.4">
      <c r="A3" t="s">
        <v>9</v>
      </c>
      <c r="B3" t="s"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E33"/>
  <sheetViews>
    <sheetView zoomScale="190" zoomScaleNormal="190" workbookViewId="0">
      <selection activeCell="F3" sqref="F3"/>
    </sheetView>
  </sheetViews>
  <sheetFormatPr defaultRowHeight="14.6" x14ac:dyDescent="0.4"/>
  <cols>
    <col min="1" max="1" width="10.07421875" bestFit="1" customWidth="1"/>
    <col min="4" max="4" width="9.23046875" style="8"/>
  </cols>
  <sheetData>
    <row r="1" spans="1:5" x14ac:dyDescent="0.4">
      <c r="A1" s="1" t="s">
        <v>13</v>
      </c>
      <c r="B1" s="1" t="s">
        <v>8</v>
      </c>
      <c r="C1" s="1" t="s">
        <v>9</v>
      </c>
      <c r="D1" s="7" t="s">
        <v>40</v>
      </c>
      <c r="E1" s="12" t="s">
        <v>41</v>
      </c>
    </row>
    <row r="2" spans="1:5" x14ac:dyDescent="0.4">
      <c r="A2" s="2">
        <v>45658</v>
      </c>
      <c r="B2">
        <v>100</v>
      </c>
      <c r="C2">
        <v>100</v>
      </c>
      <c r="D2" s="8">
        <v>0</v>
      </c>
      <c r="E2" s="8">
        <v>0</v>
      </c>
    </row>
    <row r="3" spans="1:5" x14ac:dyDescent="0.4">
      <c r="A3" s="2">
        <v>45659</v>
      </c>
      <c r="B3">
        <v>101</v>
      </c>
      <c r="C3">
        <v>90</v>
      </c>
      <c r="D3" s="8">
        <f>B3/B2</f>
        <v>1.01</v>
      </c>
      <c r="E3" s="8">
        <f>C3/C2</f>
        <v>0.9</v>
      </c>
    </row>
    <row r="4" spans="1:5" x14ac:dyDescent="0.4">
      <c r="A4" s="2">
        <v>45660</v>
      </c>
      <c r="B4">
        <v>102</v>
      </c>
      <c r="C4">
        <v>100</v>
      </c>
      <c r="D4" s="8">
        <f t="shared" ref="D4:D10" si="0">B4/B3</f>
        <v>1.0099009900990099</v>
      </c>
      <c r="E4" s="8">
        <f t="shared" ref="E4:E10" si="1">C4/C3</f>
        <v>1.1111111111111112</v>
      </c>
    </row>
    <row r="5" spans="1:5" x14ac:dyDescent="0.4">
      <c r="A5" s="2">
        <v>45661</v>
      </c>
      <c r="B5">
        <v>103</v>
      </c>
      <c r="C5">
        <v>90</v>
      </c>
      <c r="D5" s="8">
        <f t="shared" si="0"/>
        <v>1.0098039215686274</v>
      </c>
      <c r="E5" s="8">
        <f t="shared" si="1"/>
        <v>0.9</v>
      </c>
    </row>
    <row r="6" spans="1:5" x14ac:dyDescent="0.4">
      <c r="A6" s="2">
        <v>45662</v>
      </c>
      <c r="B6">
        <v>104</v>
      </c>
      <c r="C6">
        <v>100</v>
      </c>
      <c r="D6" s="8">
        <f t="shared" si="0"/>
        <v>1.0097087378640777</v>
      </c>
      <c r="E6" s="8">
        <f t="shared" si="1"/>
        <v>1.1111111111111112</v>
      </c>
    </row>
    <row r="7" spans="1:5" x14ac:dyDescent="0.4">
      <c r="A7" s="2">
        <v>45663</v>
      </c>
      <c r="B7">
        <v>105</v>
      </c>
      <c r="C7">
        <v>90</v>
      </c>
      <c r="D7" s="8">
        <f t="shared" si="0"/>
        <v>1.0096153846153846</v>
      </c>
      <c r="E7" s="8">
        <f t="shared" si="1"/>
        <v>0.9</v>
      </c>
    </row>
    <row r="8" spans="1:5" x14ac:dyDescent="0.4">
      <c r="A8" s="2">
        <v>45664</v>
      </c>
      <c r="B8">
        <v>106</v>
      </c>
      <c r="C8">
        <v>100</v>
      </c>
      <c r="D8" s="8">
        <f t="shared" si="0"/>
        <v>1.0095238095238095</v>
      </c>
      <c r="E8" s="8">
        <f t="shared" si="1"/>
        <v>1.1111111111111112</v>
      </c>
    </row>
    <row r="9" spans="1:5" x14ac:dyDescent="0.4">
      <c r="A9" s="2">
        <v>45665</v>
      </c>
      <c r="B9">
        <v>107</v>
      </c>
      <c r="C9">
        <v>90</v>
      </c>
      <c r="D9" s="8">
        <f t="shared" si="0"/>
        <v>1.0094339622641511</v>
      </c>
      <c r="E9" s="8">
        <f t="shared" si="1"/>
        <v>0.9</v>
      </c>
    </row>
    <row r="10" spans="1:5" x14ac:dyDescent="0.4">
      <c r="A10" s="2">
        <v>45666</v>
      </c>
      <c r="B10">
        <v>108</v>
      </c>
      <c r="C10">
        <v>100</v>
      </c>
      <c r="D10" s="8">
        <f t="shared" si="0"/>
        <v>1.0093457943925233</v>
      </c>
      <c r="E10" s="8">
        <f t="shared" si="1"/>
        <v>1.1111111111111112</v>
      </c>
    </row>
    <row r="11" spans="1:5" x14ac:dyDescent="0.4">
      <c r="A11" s="2">
        <v>45667</v>
      </c>
      <c r="B11">
        <v>109</v>
      </c>
      <c r="C11">
        <v>90</v>
      </c>
      <c r="D11" s="8">
        <f t="shared" ref="D11:D20" si="2">B11/B10</f>
        <v>1.0092592592592593</v>
      </c>
      <c r="E11" s="8">
        <f t="shared" ref="E11:E20" si="3">C11/C10</f>
        <v>0.9</v>
      </c>
    </row>
    <row r="12" spans="1:5" x14ac:dyDescent="0.4">
      <c r="A12" s="2">
        <v>45668</v>
      </c>
      <c r="B12">
        <v>110</v>
      </c>
      <c r="C12">
        <v>100</v>
      </c>
      <c r="D12" s="8">
        <f t="shared" si="2"/>
        <v>1.0091743119266054</v>
      </c>
      <c r="E12" s="8">
        <f t="shared" si="3"/>
        <v>1.1111111111111112</v>
      </c>
    </row>
    <row r="13" spans="1:5" x14ac:dyDescent="0.4">
      <c r="A13" s="2">
        <v>45669</v>
      </c>
      <c r="B13">
        <v>111</v>
      </c>
      <c r="C13">
        <v>90</v>
      </c>
      <c r="D13" s="8">
        <f t="shared" si="2"/>
        <v>1.009090909090909</v>
      </c>
      <c r="E13" s="8">
        <f t="shared" si="3"/>
        <v>0.9</v>
      </c>
    </row>
    <row r="14" spans="1:5" x14ac:dyDescent="0.4">
      <c r="A14" s="2">
        <v>45670</v>
      </c>
      <c r="B14">
        <v>112</v>
      </c>
      <c r="C14">
        <v>100</v>
      </c>
      <c r="D14" s="8">
        <f t="shared" si="2"/>
        <v>1.0090090090090089</v>
      </c>
      <c r="E14" s="8">
        <f t="shared" si="3"/>
        <v>1.1111111111111112</v>
      </c>
    </row>
    <row r="15" spans="1:5" x14ac:dyDescent="0.4">
      <c r="A15" s="2">
        <v>45671</v>
      </c>
      <c r="B15">
        <v>113</v>
      </c>
      <c r="C15">
        <v>90</v>
      </c>
      <c r="D15" s="8">
        <f t="shared" si="2"/>
        <v>1.0089285714285714</v>
      </c>
      <c r="E15" s="8">
        <f t="shared" si="3"/>
        <v>0.9</v>
      </c>
    </row>
    <row r="16" spans="1:5" x14ac:dyDescent="0.4">
      <c r="A16" s="2">
        <v>45672</v>
      </c>
      <c r="B16">
        <v>114</v>
      </c>
      <c r="C16">
        <v>100</v>
      </c>
      <c r="D16" s="8">
        <f t="shared" si="2"/>
        <v>1.0088495575221239</v>
      </c>
      <c r="E16" s="8">
        <f t="shared" si="3"/>
        <v>1.1111111111111112</v>
      </c>
    </row>
    <row r="17" spans="1:5" x14ac:dyDescent="0.4">
      <c r="A17" s="2">
        <v>45673</v>
      </c>
      <c r="B17">
        <v>115</v>
      </c>
      <c r="C17">
        <v>90</v>
      </c>
      <c r="D17" s="8">
        <f t="shared" si="2"/>
        <v>1.0087719298245614</v>
      </c>
      <c r="E17" s="8">
        <f t="shared" si="3"/>
        <v>0.9</v>
      </c>
    </row>
    <row r="18" spans="1:5" x14ac:dyDescent="0.4">
      <c r="A18" s="2">
        <v>45674</v>
      </c>
      <c r="B18">
        <v>116</v>
      </c>
      <c r="C18">
        <v>100</v>
      </c>
      <c r="D18" s="8">
        <f t="shared" si="2"/>
        <v>1.008695652173913</v>
      </c>
      <c r="E18" s="8">
        <f t="shared" si="3"/>
        <v>1.1111111111111112</v>
      </c>
    </row>
    <row r="19" spans="1:5" x14ac:dyDescent="0.4">
      <c r="A19" s="2">
        <v>45675</v>
      </c>
      <c r="B19">
        <v>117</v>
      </c>
      <c r="C19">
        <v>90</v>
      </c>
      <c r="D19" s="8">
        <f t="shared" si="2"/>
        <v>1.0086206896551724</v>
      </c>
      <c r="E19" s="8">
        <f t="shared" si="3"/>
        <v>0.9</v>
      </c>
    </row>
    <row r="20" spans="1:5" x14ac:dyDescent="0.4">
      <c r="A20" s="2">
        <v>45676</v>
      </c>
      <c r="B20">
        <v>118</v>
      </c>
      <c r="C20">
        <v>100</v>
      </c>
      <c r="D20" s="8">
        <f t="shared" si="2"/>
        <v>1.0085470085470085</v>
      </c>
      <c r="E20" s="8">
        <f t="shared" si="3"/>
        <v>1.1111111111111112</v>
      </c>
    </row>
    <row r="21" spans="1:5" x14ac:dyDescent="0.4">
      <c r="A21" s="2">
        <v>45677</v>
      </c>
      <c r="B21">
        <v>119</v>
      </c>
      <c r="C21">
        <v>90</v>
      </c>
      <c r="D21" s="8">
        <f t="shared" ref="D21:D33" si="4">B21/B20</f>
        <v>1.0084745762711864</v>
      </c>
      <c r="E21" s="8">
        <f t="shared" ref="E21:E33" si="5">C21/C20</f>
        <v>0.9</v>
      </c>
    </row>
    <row r="22" spans="1:5" x14ac:dyDescent="0.4">
      <c r="A22" s="2">
        <v>45678</v>
      </c>
      <c r="B22">
        <v>120</v>
      </c>
      <c r="C22">
        <v>100</v>
      </c>
      <c r="D22" s="8">
        <f t="shared" si="4"/>
        <v>1.0084033613445378</v>
      </c>
      <c r="E22" s="8">
        <f t="shared" si="5"/>
        <v>1.1111111111111112</v>
      </c>
    </row>
    <row r="23" spans="1:5" x14ac:dyDescent="0.4">
      <c r="A23" s="2">
        <v>45679</v>
      </c>
      <c r="B23">
        <v>121</v>
      </c>
      <c r="C23">
        <v>90</v>
      </c>
      <c r="D23" s="8">
        <f t="shared" si="4"/>
        <v>1.0083333333333333</v>
      </c>
      <c r="E23" s="8">
        <f t="shared" si="5"/>
        <v>0.9</v>
      </c>
    </row>
    <row r="24" spans="1:5" x14ac:dyDescent="0.4">
      <c r="A24" s="2">
        <v>45680</v>
      </c>
      <c r="B24">
        <v>122</v>
      </c>
      <c r="C24">
        <v>100</v>
      </c>
      <c r="D24" s="8">
        <f t="shared" si="4"/>
        <v>1.0082644628099173</v>
      </c>
      <c r="E24" s="8">
        <f t="shared" si="5"/>
        <v>1.1111111111111112</v>
      </c>
    </row>
    <row r="25" spans="1:5" x14ac:dyDescent="0.4">
      <c r="A25" s="2">
        <v>45681</v>
      </c>
      <c r="B25">
        <v>123</v>
      </c>
      <c r="C25">
        <v>90</v>
      </c>
      <c r="D25" s="8">
        <f t="shared" si="4"/>
        <v>1.0081967213114753</v>
      </c>
      <c r="E25" s="8">
        <f t="shared" si="5"/>
        <v>0.9</v>
      </c>
    </row>
    <row r="26" spans="1:5" x14ac:dyDescent="0.4">
      <c r="A26" s="2">
        <v>45682</v>
      </c>
      <c r="B26">
        <v>124</v>
      </c>
      <c r="C26">
        <v>100</v>
      </c>
      <c r="D26" s="8">
        <f t="shared" si="4"/>
        <v>1.0081300813008129</v>
      </c>
      <c r="E26" s="8">
        <f t="shared" si="5"/>
        <v>1.1111111111111112</v>
      </c>
    </row>
    <row r="27" spans="1:5" x14ac:dyDescent="0.4">
      <c r="A27" s="2">
        <v>45683</v>
      </c>
      <c r="B27">
        <v>125</v>
      </c>
      <c r="C27">
        <v>90</v>
      </c>
      <c r="D27" s="8">
        <f t="shared" si="4"/>
        <v>1.0080645161290323</v>
      </c>
      <c r="E27" s="8">
        <f t="shared" si="5"/>
        <v>0.9</v>
      </c>
    </row>
    <row r="28" spans="1:5" x14ac:dyDescent="0.4">
      <c r="A28" s="2">
        <v>45684</v>
      </c>
      <c r="B28">
        <v>126</v>
      </c>
      <c r="C28">
        <v>100</v>
      </c>
      <c r="D28" s="8">
        <f t="shared" si="4"/>
        <v>1.008</v>
      </c>
      <c r="E28" s="8">
        <f t="shared" si="5"/>
        <v>1.1111111111111112</v>
      </c>
    </row>
    <row r="29" spans="1:5" x14ac:dyDescent="0.4">
      <c r="A29" s="2">
        <v>45685</v>
      </c>
      <c r="B29">
        <v>127</v>
      </c>
      <c r="C29">
        <v>90</v>
      </c>
      <c r="D29" s="8">
        <f t="shared" si="4"/>
        <v>1.0079365079365079</v>
      </c>
      <c r="E29" s="8">
        <f t="shared" si="5"/>
        <v>0.9</v>
      </c>
    </row>
    <row r="30" spans="1:5" x14ac:dyDescent="0.4">
      <c r="A30" s="2">
        <v>45686</v>
      </c>
      <c r="B30">
        <v>128</v>
      </c>
      <c r="C30">
        <v>100</v>
      </c>
      <c r="D30" s="8">
        <f t="shared" si="4"/>
        <v>1.0078740157480315</v>
      </c>
      <c r="E30" s="8">
        <f t="shared" si="5"/>
        <v>1.1111111111111112</v>
      </c>
    </row>
    <row r="31" spans="1:5" x14ac:dyDescent="0.4">
      <c r="A31" s="2">
        <v>45687</v>
      </c>
      <c r="B31">
        <v>129</v>
      </c>
      <c r="C31">
        <v>90</v>
      </c>
      <c r="D31" s="8">
        <f t="shared" si="4"/>
        <v>1.0078125</v>
      </c>
      <c r="E31" s="8">
        <f t="shared" si="5"/>
        <v>0.9</v>
      </c>
    </row>
    <row r="32" spans="1:5" x14ac:dyDescent="0.4">
      <c r="A32" s="2">
        <v>45688</v>
      </c>
      <c r="B32">
        <v>130</v>
      </c>
      <c r="C32">
        <v>100</v>
      </c>
      <c r="D32" s="8">
        <f t="shared" si="4"/>
        <v>1.0077519379844961</v>
      </c>
      <c r="E32" s="8">
        <f t="shared" si="5"/>
        <v>1.1111111111111112</v>
      </c>
    </row>
    <row r="33" spans="1:5" x14ac:dyDescent="0.4">
      <c r="A33" s="2">
        <v>45689</v>
      </c>
      <c r="B33">
        <v>131</v>
      </c>
      <c r="C33">
        <v>90</v>
      </c>
      <c r="D33" s="8">
        <f t="shared" si="4"/>
        <v>1.0076923076923077</v>
      </c>
      <c r="E33" s="8">
        <f t="shared" si="5"/>
        <v>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F34"/>
  <sheetViews>
    <sheetView zoomScale="190" zoomScaleNormal="190" workbookViewId="0">
      <selection activeCell="F2" sqref="F2"/>
    </sheetView>
  </sheetViews>
  <sheetFormatPr defaultRowHeight="14.6" x14ac:dyDescent="0.4"/>
  <cols>
    <col min="1" max="1" width="10.07421875" bestFit="1" customWidth="1"/>
    <col min="6" max="6" width="11.15234375" bestFit="1" customWidth="1"/>
  </cols>
  <sheetData>
    <row r="1" spans="1:6" x14ac:dyDescent="0.4">
      <c r="A1" s="1" t="s">
        <v>18</v>
      </c>
      <c r="B1" s="4" t="s">
        <v>14</v>
      </c>
      <c r="C1" s="1" t="s">
        <v>15</v>
      </c>
      <c r="D1" s="10" t="s">
        <v>16</v>
      </c>
      <c r="E1" s="10" t="s">
        <v>16</v>
      </c>
      <c r="F1" s="10" t="s">
        <v>43</v>
      </c>
    </row>
    <row r="2" spans="1:6" x14ac:dyDescent="0.4">
      <c r="A2" s="1" t="s">
        <v>17</v>
      </c>
      <c r="B2" s="4" t="s">
        <v>8</v>
      </c>
      <c r="C2" s="1" t="s">
        <v>9</v>
      </c>
      <c r="D2" s="10" t="s">
        <v>8</v>
      </c>
      <c r="E2" s="10" t="s">
        <v>9</v>
      </c>
      <c r="F2" s="10" t="s">
        <v>42</v>
      </c>
    </row>
    <row r="3" spans="1:6" x14ac:dyDescent="0.4">
      <c r="A3" s="2">
        <v>45658</v>
      </c>
      <c r="B3" s="6">
        <v>1</v>
      </c>
      <c r="C3" s="6">
        <v>1</v>
      </c>
      <c r="D3" s="11">
        <v>0.5</v>
      </c>
      <c r="E3" s="11">
        <v>0.5</v>
      </c>
      <c r="F3" s="8">
        <v>1</v>
      </c>
    </row>
    <row r="4" spans="1:6" x14ac:dyDescent="0.4">
      <c r="A4" s="2">
        <v>45659</v>
      </c>
      <c r="B4" s="6">
        <v>1</v>
      </c>
      <c r="C4" s="6">
        <v>1</v>
      </c>
      <c r="D4" s="11">
        <v>0.5</v>
      </c>
      <c r="E4" s="11">
        <v>0.5</v>
      </c>
      <c r="F4" s="8">
        <f xml:space="preserve"> $D4 * Prices!$D3 + $E4 * Prices!$E3</f>
        <v>0.95500000000000007</v>
      </c>
    </row>
    <row r="5" spans="1:6" x14ac:dyDescent="0.4">
      <c r="A5" s="2">
        <v>45660</v>
      </c>
      <c r="B5" s="6">
        <v>1</v>
      </c>
      <c r="C5" s="6">
        <v>1</v>
      </c>
      <c r="D5" s="11">
        <f>(D4 * Prices!D3) / $F4</f>
        <v>0.52879581151832455</v>
      </c>
      <c r="E5" s="11">
        <f>(E4 * Prices!E3) / $F4</f>
        <v>0.47120418848167539</v>
      </c>
      <c r="F5" s="8">
        <f xml:space="preserve"> $D5 * Prices!$D4 + $E5 * Prices!$E4</f>
        <v>1.0575916230366491</v>
      </c>
    </row>
    <row r="6" spans="1:6" x14ac:dyDescent="0.4">
      <c r="A6" s="2">
        <v>45661</v>
      </c>
      <c r="B6" s="6">
        <v>1</v>
      </c>
      <c r="C6" s="6">
        <v>1</v>
      </c>
      <c r="D6" s="11">
        <f>(D5 * Prices!D4) / $F5</f>
        <v>0.50495049504950495</v>
      </c>
      <c r="E6" s="11">
        <f>(E5 * Prices!E4) / F5</f>
        <v>0.4950495049504951</v>
      </c>
      <c r="F6" s="8">
        <f xml:space="preserve"> $D6 * Prices!$D5 + $E6 * Prices!$E5</f>
        <v>0.95544554455445552</v>
      </c>
    </row>
    <row r="7" spans="1:6" x14ac:dyDescent="0.4">
      <c r="A7" s="2">
        <v>45662</v>
      </c>
      <c r="B7" s="6">
        <v>1</v>
      </c>
      <c r="C7" s="6">
        <v>1</v>
      </c>
      <c r="D7" s="11">
        <f>(D6 * Prices!D5) / $F6</f>
        <v>0.53367875647668395</v>
      </c>
      <c r="E7" s="11">
        <f>(E6 * Prices!E5) / F6</f>
        <v>0.46632124352331611</v>
      </c>
      <c r="F7" s="8">
        <f xml:space="preserve"> $D7 * Prices!$D6 + $E7 * Prices!$E6</f>
        <v>1.0569948186528499</v>
      </c>
    </row>
    <row r="8" spans="1:6" x14ac:dyDescent="0.4">
      <c r="A8" s="2">
        <v>45663</v>
      </c>
      <c r="B8" s="6">
        <v>1</v>
      </c>
      <c r="C8" s="6">
        <v>1</v>
      </c>
      <c r="D8" s="10">
        <v>0.5</v>
      </c>
      <c r="E8" s="10">
        <v>0.5</v>
      </c>
      <c r="F8" s="8">
        <f xml:space="preserve"> $D8 * Prices!$D7 + $E8 * Prices!$E7</f>
        <v>0.95480769230769225</v>
      </c>
    </row>
    <row r="9" spans="1:6" x14ac:dyDescent="0.4">
      <c r="A9" s="2">
        <v>45664</v>
      </c>
      <c r="B9" s="6">
        <v>1</v>
      </c>
      <c r="C9" s="6">
        <v>1</v>
      </c>
      <c r="D9" s="11">
        <f>(D8 * Prices!D7) / $F8</f>
        <v>0.52870090634441091</v>
      </c>
      <c r="E9" s="11">
        <f>(E8 * Prices!E7) / F8</f>
        <v>0.47129909365558914</v>
      </c>
      <c r="F9" s="8">
        <f xml:space="preserve"> $D9 * Prices!$D8 + $E9 * Prices!$E8</f>
        <v>1.0574018126888218</v>
      </c>
    </row>
    <row r="10" spans="1:6" x14ac:dyDescent="0.4">
      <c r="A10" s="2">
        <v>45665</v>
      </c>
      <c r="B10" s="6">
        <v>1</v>
      </c>
      <c r="C10" s="6">
        <v>1</v>
      </c>
      <c r="D10" s="11">
        <f>(D9 * Prices!D8) / $F9</f>
        <v>0.50476190476190474</v>
      </c>
      <c r="E10" s="11">
        <f>(E9 * Prices!E8) / F9</f>
        <v>0.4952380952380952</v>
      </c>
      <c r="F10" s="8">
        <f xml:space="preserve"> $D10 * Prices!$D9 + $E10 * Prices!$E9</f>
        <v>0.95523809523809522</v>
      </c>
    </row>
    <row r="11" spans="1:6" x14ac:dyDescent="0.4">
      <c r="A11" s="2">
        <v>45666</v>
      </c>
      <c r="B11" s="6">
        <v>1</v>
      </c>
      <c r="C11" s="6">
        <v>1</v>
      </c>
      <c r="D11" s="11">
        <f>(D10 * Prices!D9) / $F10</f>
        <v>0.53339980059820546</v>
      </c>
      <c r="E11" s="11">
        <f>(E10 * Prices!E9) / F10</f>
        <v>0.46660019940179459</v>
      </c>
      <c r="F11" s="8">
        <f xml:space="preserve"> $D11 * Prices!$D10 + $E11 * Prices!$E10</f>
        <v>1.0568295114656032</v>
      </c>
    </row>
    <row r="12" spans="1:6" x14ac:dyDescent="0.4">
      <c r="A12" s="2">
        <v>45667</v>
      </c>
      <c r="B12" s="6">
        <v>1</v>
      </c>
      <c r="C12" s="6">
        <v>1</v>
      </c>
      <c r="D12" s="11">
        <f>(D11 * Prices!D10) / $F11</f>
        <v>0.50943396226415094</v>
      </c>
      <c r="E12" s="11">
        <f>(E11 * Prices!E10) / F11</f>
        <v>0.49056603773584906</v>
      </c>
      <c r="F12" s="8">
        <f xml:space="preserve"> $D12 * Prices!$D11 + $E12 * Prices!$E11</f>
        <v>0.95566037735849063</v>
      </c>
    </row>
    <row r="13" spans="1:6" x14ac:dyDescent="0.4">
      <c r="A13" s="2">
        <v>45668</v>
      </c>
      <c r="B13" s="6">
        <v>1</v>
      </c>
      <c r="C13" s="6">
        <v>1</v>
      </c>
      <c r="D13" s="11">
        <f>(D12 * Prices!D11) / $F12</f>
        <v>0.53800592300098715</v>
      </c>
      <c r="E13" s="11">
        <f>(E12 * Prices!E11) / F12</f>
        <v>0.46199407699901279</v>
      </c>
      <c r="F13" s="8">
        <f xml:space="preserve"> $D13 * Prices!$D12 + $E13 * Prices!$E12</f>
        <v>1.0562685093780848</v>
      </c>
    </row>
    <row r="14" spans="1:6" x14ac:dyDescent="0.4">
      <c r="A14" s="2">
        <v>45669</v>
      </c>
      <c r="B14" s="6">
        <v>1</v>
      </c>
      <c r="C14" s="6">
        <v>1</v>
      </c>
      <c r="D14" s="11">
        <f>(D13 * Prices!D12) / $F13</f>
        <v>0.51401869158878499</v>
      </c>
      <c r="E14" s="11">
        <f>(E13 * Prices!E12) / F13</f>
        <v>0.48598130841121495</v>
      </c>
      <c r="F14" s="8">
        <f xml:space="preserve"> $D14 * Prices!$D13 + $E14 * Prices!$E13</f>
        <v>0.9560747663551401</v>
      </c>
    </row>
    <row r="15" spans="1:6" x14ac:dyDescent="0.4">
      <c r="A15" s="2">
        <v>45670</v>
      </c>
      <c r="B15" s="6">
        <v>1</v>
      </c>
      <c r="C15" s="6">
        <v>1</v>
      </c>
      <c r="D15" s="10">
        <v>0.5</v>
      </c>
      <c r="E15" s="10">
        <v>0.5</v>
      </c>
      <c r="F15" s="8">
        <f xml:space="preserve"> $D15 * Prices!$D14 + $E15 * Prices!$E14</f>
        <v>1.06006006006006</v>
      </c>
    </row>
    <row r="16" spans="1:6" x14ac:dyDescent="0.4">
      <c r="A16" s="2">
        <v>45671</v>
      </c>
      <c r="B16" s="6">
        <v>1</v>
      </c>
      <c r="C16" s="6">
        <v>1</v>
      </c>
      <c r="D16" s="11">
        <f>(D15 * Prices!D14) / $F15</f>
        <v>0.47592067988668552</v>
      </c>
      <c r="E16" s="11">
        <f>(E15 * Prices!E14) / F15</f>
        <v>0.52407932011331448</v>
      </c>
      <c r="F16" s="8">
        <f xml:space="preserve"> $D16 * Prices!$D15 + $E16 * Prices!$E15</f>
        <v>0.95184135977337103</v>
      </c>
    </row>
    <row r="17" spans="1:6" x14ac:dyDescent="0.4">
      <c r="A17" s="2">
        <v>45672</v>
      </c>
      <c r="B17" s="6">
        <v>1</v>
      </c>
      <c r="C17" s="6">
        <v>1</v>
      </c>
      <c r="D17" s="11">
        <f>(D16 * Prices!D15) / $F16</f>
        <v>0.5044642857142857</v>
      </c>
      <c r="E17" s="11">
        <f>(E16 * Prices!E15) / F16</f>
        <v>0.49553571428571436</v>
      </c>
      <c r="F17" s="8">
        <f xml:space="preserve"> $D17 * Prices!$D16 + $E17 * Prices!$E16</f>
        <v>1.0595238095238098</v>
      </c>
    </row>
    <row r="18" spans="1:6" x14ac:dyDescent="0.4">
      <c r="A18" s="2">
        <v>45673</v>
      </c>
      <c r="B18" s="6">
        <v>1</v>
      </c>
      <c r="C18" s="6">
        <v>1</v>
      </c>
      <c r="D18" s="11">
        <f>(D17 * Prices!D16) / $F17</f>
        <v>0.48033707865168523</v>
      </c>
      <c r="E18" s="11">
        <f>(E17 * Prices!E16) / F17</f>
        <v>0.5196629213483146</v>
      </c>
      <c r="F18" s="8">
        <f xml:space="preserve"> $D18 * Prices!$D17 + $E18 * Prices!$E17</f>
        <v>0.95224719101123578</v>
      </c>
    </row>
    <row r="19" spans="1:6" x14ac:dyDescent="0.4">
      <c r="A19" s="2">
        <v>45674</v>
      </c>
      <c r="B19" s="6">
        <v>1</v>
      </c>
      <c r="C19" s="6">
        <v>1</v>
      </c>
      <c r="D19" s="11">
        <f>(D18 * Prices!D17) / $F18</f>
        <v>0.50884955752212391</v>
      </c>
      <c r="E19" s="11">
        <f>(E18 * Prices!E17) / F18</f>
        <v>0.4911504424778762</v>
      </c>
      <c r="F19" s="8">
        <f xml:space="preserve"> $D19 * Prices!$D18 + $E19 * Prices!$E18</f>
        <v>1.0589970501474928</v>
      </c>
    </row>
    <row r="20" spans="1:6" x14ac:dyDescent="0.4">
      <c r="A20" s="2">
        <v>45675</v>
      </c>
      <c r="B20" s="6">
        <v>1</v>
      </c>
      <c r="C20" s="6">
        <v>1</v>
      </c>
      <c r="D20" s="11">
        <f>(D19 * Prices!D18) / $F19</f>
        <v>0.48467966573816151</v>
      </c>
      <c r="E20" s="11">
        <f>(E19 * Prices!E18) / F19</f>
        <v>0.51532033426183854</v>
      </c>
      <c r="F20" s="8">
        <f xml:space="preserve"> $D20 * Prices!$D19 + $E20 * Prices!$E19</f>
        <v>0.9526462395543176</v>
      </c>
    </row>
    <row r="21" spans="1:6" x14ac:dyDescent="0.4">
      <c r="A21" s="2">
        <v>45676</v>
      </c>
      <c r="B21" s="6">
        <v>1</v>
      </c>
      <c r="C21" s="6">
        <v>1</v>
      </c>
      <c r="D21" s="11">
        <f>(D20 * Prices!D19) / $F20</f>
        <v>0.51315789473684204</v>
      </c>
      <c r="E21" s="11">
        <f>(E20 * Prices!E19) / F20</f>
        <v>0.48684210526315796</v>
      </c>
      <c r="F21" s="8">
        <f xml:space="preserve"> $D21 * Prices!$D20 + $E21 * Prices!$E20</f>
        <v>1.0584795321637426</v>
      </c>
    </row>
    <row r="22" spans="1:6" x14ac:dyDescent="0.4">
      <c r="A22" s="2">
        <v>45677</v>
      </c>
      <c r="B22" s="6">
        <v>1</v>
      </c>
      <c r="C22" s="6">
        <v>1</v>
      </c>
      <c r="D22" s="10">
        <v>0.5</v>
      </c>
      <c r="E22" s="10">
        <v>0.5</v>
      </c>
      <c r="F22" s="8">
        <f xml:space="preserve"> $D22 * Prices!$D21 + $E22 * Prices!$E21</f>
        <v>0.95423728813559316</v>
      </c>
    </row>
    <row r="23" spans="1:6" x14ac:dyDescent="0.4">
      <c r="A23" s="2">
        <v>45678</v>
      </c>
      <c r="B23" s="6">
        <v>1</v>
      </c>
      <c r="C23" s="6">
        <v>1</v>
      </c>
      <c r="D23" s="11">
        <f>(D22 * Prices!D21) / $F22</f>
        <v>0.52841918294849022</v>
      </c>
      <c r="E23" s="11">
        <f>(E22 * Prices!E21) / F22</f>
        <v>0.47158081705150978</v>
      </c>
      <c r="F23" s="8">
        <f xml:space="preserve"> $D23 * Prices!$D22 + $E23 * Prices!$E22</f>
        <v>1.0568383658969807</v>
      </c>
    </row>
    <row r="24" spans="1:6" x14ac:dyDescent="0.4">
      <c r="A24" s="2">
        <v>45679</v>
      </c>
      <c r="B24" s="6">
        <v>1</v>
      </c>
      <c r="C24" s="6">
        <v>1</v>
      </c>
      <c r="D24" s="11">
        <f>(D23 * Prices!D22) / $F23</f>
        <v>0.50420168067226878</v>
      </c>
      <c r="E24" s="11">
        <f>(E23 * Prices!E22) / F23</f>
        <v>0.49579831932773105</v>
      </c>
      <c r="F24" s="8">
        <f xml:space="preserve"> $D24 * Prices!$D23 + $E24 * Prices!$E23</f>
        <v>0.95462184873949563</v>
      </c>
    </row>
    <row r="25" spans="1:6" x14ac:dyDescent="0.4">
      <c r="A25" s="2">
        <v>45680</v>
      </c>
      <c r="B25" s="6">
        <v>1</v>
      </c>
      <c r="C25" s="6">
        <v>1</v>
      </c>
      <c r="D25" s="11">
        <f>(D24 * Prices!D23) / $F24</f>
        <v>0.53257042253521125</v>
      </c>
      <c r="E25" s="11">
        <f>(E24 * Prices!E23) / F24</f>
        <v>0.4674295774647888</v>
      </c>
      <c r="F25" s="8">
        <f xml:space="preserve"> $D25 * Prices!$D24 + $E25 * Prices!$E24</f>
        <v>1.0563380281690142</v>
      </c>
    </row>
    <row r="26" spans="1:6" x14ac:dyDescent="0.4">
      <c r="A26" s="2">
        <v>45681</v>
      </c>
      <c r="B26" s="6">
        <v>1</v>
      </c>
      <c r="C26" s="6">
        <v>1</v>
      </c>
      <c r="D26" s="11">
        <f>(D25 * Prices!D24) / $F25</f>
        <v>0.5083333333333333</v>
      </c>
      <c r="E26" s="11">
        <f>(E25 * Prices!E24) / F25</f>
        <v>0.49166666666666675</v>
      </c>
      <c r="F26" s="8">
        <f xml:space="preserve"> $D26 * Prices!$D25 + $E26 * Prices!$E25</f>
        <v>0.95500000000000007</v>
      </c>
    </row>
    <row r="27" spans="1:6" x14ac:dyDescent="0.4">
      <c r="A27" s="2">
        <v>45682</v>
      </c>
      <c r="B27" s="6">
        <v>1</v>
      </c>
      <c r="C27" s="6">
        <v>1</v>
      </c>
      <c r="D27" s="11">
        <f>(D26 * Prices!D25) / $F26</f>
        <v>0.53664921465968574</v>
      </c>
      <c r="E27" s="11">
        <f>(E26 * Prices!E25) / F26</f>
        <v>0.46335078534031415</v>
      </c>
      <c r="F27" s="8">
        <f xml:space="preserve"> $D27 * Prices!$D26 + $E27 * Prices!$E26</f>
        <v>1.0558464223385688</v>
      </c>
    </row>
    <row r="28" spans="1:6" x14ac:dyDescent="0.4">
      <c r="A28" s="2">
        <v>45683</v>
      </c>
      <c r="B28" s="6">
        <v>1</v>
      </c>
      <c r="C28" s="6">
        <v>1</v>
      </c>
      <c r="D28" s="11">
        <f>(D27 * Prices!D26) / $F27</f>
        <v>0.51239669421487588</v>
      </c>
      <c r="E28" s="11">
        <f>(E27 * Prices!E26) / F27</f>
        <v>0.48760330578512406</v>
      </c>
      <c r="F28" s="8">
        <f xml:space="preserve"> $D28 * Prices!$D27 + $E28 * Prices!$E27</f>
        <v>0.95537190082644619</v>
      </c>
    </row>
    <row r="29" spans="1:6" x14ac:dyDescent="0.4">
      <c r="A29" s="2">
        <v>45684</v>
      </c>
      <c r="B29" s="6">
        <v>1</v>
      </c>
      <c r="C29" s="6">
        <v>1</v>
      </c>
      <c r="D29" s="10">
        <v>0.5</v>
      </c>
      <c r="E29" s="10">
        <v>0.5</v>
      </c>
      <c r="F29" s="8">
        <f xml:space="preserve"> $D29 * Prices!$D28 + $E29 * Prices!$E28</f>
        <v>1.0595555555555556</v>
      </c>
    </row>
    <row r="30" spans="1:6" x14ac:dyDescent="0.4">
      <c r="A30" s="2">
        <v>45685</v>
      </c>
      <c r="B30" s="6">
        <v>1</v>
      </c>
      <c r="C30" s="6">
        <v>1</v>
      </c>
      <c r="D30" s="11">
        <f>(D29 * Prices!D28) / $F29</f>
        <v>0.47567114093959728</v>
      </c>
      <c r="E30" s="11">
        <f>(E29 * Prices!E28) / F29</f>
        <v>0.52432885906040272</v>
      </c>
      <c r="F30" s="8">
        <f xml:space="preserve"> $D30 * Prices!$D29 + $E30 * Prices!$E29</f>
        <v>0.95134228187919456</v>
      </c>
    </row>
    <row r="31" spans="1:6" x14ac:dyDescent="0.4">
      <c r="A31" s="2">
        <v>45686</v>
      </c>
      <c r="B31" s="6">
        <v>1</v>
      </c>
      <c r="C31" s="6">
        <v>1</v>
      </c>
      <c r="D31" s="11">
        <f>(D30 * Prices!D29) / $F30</f>
        <v>0.50396825396825395</v>
      </c>
      <c r="E31" s="11">
        <f>(E30 * Prices!E29) / F30</f>
        <v>0.4960317460317461</v>
      </c>
      <c r="F31" s="8">
        <f xml:space="preserve"> $D31 * Prices!$D30 + $E31 * Prices!$E30</f>
        <v>1.0590828924162259</v>
      </c>
    </row>
    <row r="32" spans="1:6" x14ac:dyDescent="0.4">
      <c r="A32" s="2">
        <v>45687</v>
      </c>
      <c r="B32" s="6">
        <v>1</v>
      </c>
      <c r="C32" s="6">
        <v>1</v>
      </c>
      <c r="D32" s="11">
        <f>(D31 * Prices!D30) / $F31</f>
        <v>0.47960033305578675</v>
      </c>
      <c r="E32" s="11">
        <f>(E31 * Prices!E30) / F31</f>
        <v>0.52039966694421314</v>
      </c>
      <c r="F32" s="8">
        <f xml:space="preserve"> $D32 * Prices!$D31 + $E32 * Prices!$E31</f>
        <v>0.95170691090757686</v>
      </c>
    </row>
    <row r="33" spans="1:6" x14ac:dyDescent="0.4">
      <c r="A33" s="2">
        <v>45688</v>
      </c>
      <c r="B33" s="6">
        <v>1</v>
      </c>
      <c r="C33" s="6">
        <v>1</v>
      </c>
      <c r="D33" s="11">
        <f>(D32 * Prices!D31) / $F32</f>
        <v>0.50787401574803148</v>
      </c>
      <c r="E33" s="11">
        <f>(E32 * Prices!E31) / F32</f>
        <v>0.49212598425196857</v>
      </c>
      <c r="F33" s="8">
        <f xml:space="preserve"> $D33 * Prices!$D32 + $E33 * Prices!$E32</f>
        <v>1.0586176727909011</v>
      </c>
    </row>
    <row r="34" spans="1:6" x14ac:dyDescent="0.4">
      <c r="A34" s="2">
        <v>45689</v>
      </c>
      <c r="B34" s="6">
        <v>1</v>
      </c>
      <c r="C34" s="6">
        <v>1</v>
      </c>
      <c r="D34" s="11">
        <f>(D33 * Prices!D32) / $F33</f>
        <v>0.48347107438016529</v>
      </c>
      <c r="E34" s="11">
        <f>(E33 * Prices!E32) / F33</f>
        <v>0.51652892561983488</v>
      </c>
      <c r="F34" s="8">
        <f xml:space="preserve"> $D34 * Prices!$D33 + $E34 * Prices!$E33</f>
        <v>0.95206611570247945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D33"/>
  <sheetViews>
    <sheetView zoomScale="205" zoomScaleNormal="205" workbookViewId="0">
      <selection activeCell="D5" sqref="D5"/>
    </sheetView>
  </sheetViews>
  <sheetFormatPr defaultRowHeight="14.6" x14ac:dyDescent="0.4"/>
  <cols>
    <col min="1" max="1" width="10.07421875" bestFit="1" customWidth="1"/>
    <col min="2" max="4" width="9.23046875" style="8"/>
  </cols>
  <sheetData>
    <row r="1" spans="1:4" x14ac:dyDescent="0.4">
      <c r="A1" s="1" t="s">
        <v>13</v>
      </c>
      <c r="B1" s="7" t="s">
        <v>14</v>
      </c>
      <c r="C1" s="7" t="s">
        <v>15</v>
      </c>
      <c r="D1" s="7" t="s">
        <v>16</v>
      </c>
    </row>
    <row r="2" spans="1:4" x14ac:dyDescent="0.4">
      <c r="A2" s="2">
        <v>45658</v>
      </c>
      <c r="B2" s="8">
        <v>1</v>
      </c>
      <c r="C2" s="8">
        <v>1</v>
      </c>
      <c r="D2" s="8">
        <v>1</v>
      </c>
    </row>
    <row r="3" spans="1:4" x14ac:dyDescent="0.4">
      <c r="A3" s="2">
        <v>45659</v>
      </c>
      <c r="B3" s="8">
        <v>1.01</v>
      </c>
      <c r="C3" s="8">
        <v>0.9</v>
      </c>
      <c r="D3" s="8">
        <f>D2 * Expected_Weights!F4</f>
        <v>0.95500000000000007</v>
      </c>
    </row>
    <row r="4" spans="1:4" x14ac:dyDescent="0.4">
      <c r="A4" s="2">
        <v>45660</v>
      </c>
      <c r="B4" s="8">
        <v>1.02</v>
      </c>
      <c r="C4" s="8">
        <v>1</v>
      </c>
      <c r="D4" s="8">
        <f>D3 * Expected_Weights!F5</f>
        <v>1.01</v>
      </c>
    </row>
    <row r="5" spans="1:4" x14ac:dyDescent="0.4">
      <c r="A5" s="2">
        <v>45661</v>
      </c>
      <c r="B5" s="8">
        <v>1.03</v>
      </c>
      <c r="C5" s="8">
        <v>0.9</v>
      </c>
      <c r="D5" s="8">
        <f>D4 * Expected_Weights!F6</f>
        <v>0.96500000000000008</v>
      </c>
    </row>
    <row r="6" spans="1:4" x14ac:dyDescent="0.4">
      <c r="A6" s="2">
        <v>45662</v>
      </c>
      <c r="B6" s="8">
        <v>1.04</v>
      </c>
      <c r="C6" s="8">
        <v>1</v>
      </c>
      <c r="D6" s="8">
        <f>D5 * Expected_Weights!F7</f>
        <v>1.0200000000000002</v>
      </c>
    </row>
    <row r="7" spans="1:4" x14ac:dyDescent="0.4">
      <c r="A7" s="2">
        <v>45663</v>
      </c>
      <c r="B7" s="8">
        <v>1.05</v>
      </c>
      <c r="C7" s="8">
        <v>0.9</v>
      </c>
      <c r="D7" s="8">
        <f>D6 * Expected_Weights!F8</f>
        <v>0.97390384615384629</v>
      </c>
    </row>
    <row r="8" spans="1:4" x14ac:dyDescent="0.4">
      <c r="A8" s="2">
        <v>45664</v>
      </c>
      <c r="B8" s="8">
        <v>1.06</v>
      </c>
      <c r="C8" s="8">
        <v>1</v>
      </c>
      <c r="D8" s="8">
        <f>D7 * Expected_Weights!F9</f>
        <v>1.0298076923076924</v>
      </c>
    </row>
    <row r="9" spans="1:4" x14ac:dyDescent="0.4">
      <c r="A9" s="2">
        <v>45665</v>
      </c>
      <c r="B9" s="8">
        <v>1.07</v>
      </c>
      <c r="C9" s="8">
        <v>0.9</v>
      </c>
      <c r="D9" s="8">
        <f>D8 * Expected_Weights!F10</f>
        <v>0.98371153846153858</v>
      </c>
    </row>
    <row r="10" spans="1:4" x14ac:dyDescent="0.4">
      <c r="A10" s="2">
        <v>45666</v>
      </c>
      <c r="B10" s="8">
        <v>1.08</v>
      </c>
      <c r="C10" s="8">
        <v>1</v>
      </c>
      <c r="D10" s="8">
        <f>D9 * Expected_Weights!F11</f>
        <v>1.0396153846153848</v>
      </c>
    </row>
    <row r="11" spans="1:4" x14ac:dyDescent="0.4">
      <c r="A11" s="2">
        <v>45667</v>
      </c>
      <c r="B11" s="8">
        <v>1.0900000000000001</v>
      </c>
      <c r="C11" s="8">
        <v>0.9</v>
      </c>
      <c r="D11" s="8">
        <f>D10 * Expected_Weights!F12</f>
        <v>0.99351923076923099</v>
      </c>
    </row>
    <row r="12" spans="1:4" x14ac:dyDescent="0.4">
      <c r="A12" s="2">
        <v>45668</v>
      </c>
      <c r="B12" s="8">
        <v>1.1000000000000001</v>
      </c>
      <c r="C12" s="8">
        <v>1</v>
      </c>
      <c r="D12" s="8">
        <f>D11 * Expected_Weights!F13</f>
        <v>1.049423076923077</v>
      </c>
    </row>
    <row r="13" spans="1:4" x14ac:dyDescent="0.4">
      <c r="A13" s="2">
        <v>45669</v>
      </c>
      <c r="B13" s="8">
        <v>1.1100000000000001</v>
      </c>
      <c r="C13" s="8">
        <v>0.9</v>
      </c>
      <c r="D13" s="8">
        <f>D12 * Expected_Weights!F14</f>
        <v>1.0033269230769231</v>
      </c>
    </row>
    <row r="14" spans="1:4" x14ac:dyDescent="0.4">
      <c r="A14" s="2">
        <v>45670</v>
      </c>
      <c r="B14" s="8">
        <v>1.1200000000000001</v>
      </c>
      <c r="C14" s="8">
        <v>1</v>
      </c>
      <c r="D14" s="8">
        <f>D13 * Expected_Weights!F15</f>
        <v>1.0635867983367984</v>
      </c>
    </row>
    <row r="15" spans="1:4" x14ac:dyDescent="0.4">
      <c r="A15" s="2">
        <v>45671</v>
      </c>
      <c r="B15" s="8">
        <v>1.1299999999999999</v>
      </c>
      <c r="C15" s="8">
        <v>0.9</v>
      </c>
      <c r="D15" s="8">
        <f>D14 * Expected_Weights!F16</f>
        <v>1.0123659043659043</v>
      </c>
    </row>
    <row r="16" spans="1:4" x14ac:dyDescent="0.4">
      <c r="A16" s="2">
        <v>45672</v>
      </c>
      <c r="B16" s="8">
        <v>1.1399999999999999</v>
      </c>
      <c r="C16" s="8">
        <v>1</v>
      </c>
      <c r="D16" s="8">
        <f>D15 * Expected_Weights!F17</f>
        <v>1.0726257796257799</v>
      </c>
    </row>
    <row r="17" spans="1:4" x14ac:dyDescent="0.4">
      <c r="A17" s="2">
        <v>45673</v>
      </c>
      <c r="B17" s="8">
        <v>1.1499999999999999</v>
      </c>
      <c r="C17" s="8">
        <v>0.9</v>
      </c>
      <c r="D17" s="8">
        <f>D16 * Expected_Weights!F18</f>
        <v>1.0214048856548856</v>
      </c>
    </row>
    <row r="18" spans="1:4" x14ac:dyDescent="0.4">
      <c r="A18" s="2">
        <v>45674</v>
      </c>
      <c r="B18" s="8">
        <v>1.1599999999999999</v>
      </c>
      <c r="C18" s="8">
        <v>1</v>
      </c>
      <c r="D18" s="8">
        <f>D17 * Expected_Weights!F19</f>
        <v>1.0816647609147612</v>
      </c>
    </row>
    <row r="19" spans="1:4" x14ac:dyDescent="0.4">
      <c r="A19" s="2">
        <v>45675</v>
      </c>
      <c r="B19" s="8">
        <v>1.17</v>
      </c>
      <c r="C19" s="8">
        <v>0.9</v>
      </c>
      <c r="D19" s="8">
        <f>D18 * Expected_Weights!F20</f>
        <v>1.0304438669438671</v>
      </c>
    </row>
    <row r="20" spans="1:4" x14ac:dyDescent="0.4">
      <c r="A20" s="2">
        <v>45676</v>
      </c>
      <c r="B20" s="8">
        <v>1.18</v>
      </c>
      <c r="C20" s="8">
        <v>1</v>
      </c>
      <c r="D20" s="8">
        <f>D19 * Expected_Weights!F21</f>
        <v>1.0907037422037422</v>
      </c>
    </row>
    <row r="21" spans="1:4" x14ac:dyDescent="0.4">
      <c r="A21" s="2">
        <v>45677</v>
      </c>
      <c r="B21" s="8">
        <v>1.19</v>
      </c>
      <c r="C21" s="8">
        <v>0.9</v>
      </c>
      <c r="D21" s="8">
        <f>D20 * Expected_Weights!F22</f>
        <v>1.0407901811198421</v>
      </c>
    </row>
    <row r="22" spans="1:4" x14ac:dyDescent="0.4">
      <c r="A22" s="2">
        <v>45678</v>
      </c>
      <c r="B22" s="8">
        <v>1.2</v>
      </c>
      <c r="C22" s="8">
        <v>1</v>
      </c>
      <c r="D22" s="8">
        <f>D21 * Expected_Weights!F23</f>
        <v>1.0999469942563165</v>
      </c>
    </row>
    <row r="23" spans="1:4" x14ac:dyDescent="0.4">
      <c r="A23" s="2">
        <v>45679</v>
      </c>
      <c r="B23" s="8">
        <v>1.21</v>
      </c>
      <c r="C23" s="8">
        <v>0.9</v>
      </c>
      <c r="D23" s="8">
        <f>D22 * Expected_Weights!F24</f>
        <v>1.0500334331724162</v>
      </c>
    </row>
    <row r="24" spans="1:4" x14ac:dyDescent="0.4">
      <c r="A24" s="2">
        <v>45680</v>
      </c>
      <c r="B24" s="8">
        <v>1.22</v>
      </c>
      <c r="C24" s="8">
        <v>1</v>
      </c>
      <c r="D24" s="8">
        <f>D23 * Expected_Weights!F25</f>
        <v>1.1091902463088905</v>
      </c>
    </row>
    <row r="25" spans="1:4" x14ac:dyDescent="0.4">
      <c r="A25" s="2">
        <v>45681</v>
      </c>
      <c r="B25" s="8">
        <v>1.23</v>
      </c>
      <c r="C25" s="8">
        <v>0.9</v>
      </c>
      <c r="D25" s="8">
        <f>D24 * Expected_Weights!F26</f>
        <v>1.0592766852249904</v>
      </c>
    </row>
    <row r="26" spans="1:4" x14ac:dyDescent="0.4">
      <c r="A26" s="2">
        <v>45682</v>
      </c>
      <c r="B26" s="8">
        <v>1.24</v>
      </c>
      <c r="C26" s="8">
        <v>1</v>
      </c>
      <c r="D26" s="8">
        <f>D25 * Expected_Weights!F27</f>
        <v>1.1184334983614646</v>
      </c>
    </row>
    <row r="27" spans="1:4" x14ac:dyDescent="0.4">
      <c r="A27" s="2">
        <v>45683</v>
      </c>
      <c r="B27" s="8">
        <v>1.25</v>
      </c>
      <c r="C27" s="8">
        <v>0.9</v>
      </c>
      <c r="D27" s="8">
        <f>D26 * Expected_Weights!F28</f>
        <v>1.0685199372775644</v>
      </c>
    </row>
    <row r="28" spans="1:4" x14ac:dyDescent="0.4">
      <c r="A28" s="2">
        <v>45684</v>
      </c>
      <c r="B28" s="8">
        <v>1.26</v>
      </c>
      <c r="C28" s="8">
        <v>1</v>
      </c>
      <c r="D28" s="8">
        <f>D27 * Expected_Weights!F29</f>
        <v>1.1321562357643171</v>
      </c>
    </row>
    <row r="29" spans="1:4" x14ac:dyDescent="0.4">
      <c r="A29" s="2">
        <v>45685</v>
      </c>
      <c r="B29" s="8">
        <v>1.27</v>
      </c>
      <c r="C29" s="8">
        <v>0.9</v>
      </c>
      <c r="D29" s="8">
        <f>D28 * Expected_Weights!F30</f>
        <v>1.0770680967757849</v>
      </c>
    </row>
    <row r="30" spans="1:4" x14ac:dyDescent="0.4">
      <c r="A30" s="2">
        <v>45686</v>
      </c>
      <c r="B30" s="8">
        <v>1.28</v>
      </c>
      <c r="C30" s="8">
        <v>1</v>
      </c>
      <c r="D30" s="8">
        <f>D29 * Expected_Weights!F31</f>
        <v>1.1407043952625378</v>
      </c>
    </row>
    <row r="31" spans="1:4" x14ac:dyDescent="0.4">
      <c r="A31" s="2">
        <v>45687</v>
      </c>
      <c r="B31" s="8">
        <v>1.29</v>
      </c>
      <c r="C31" s="8">
        <v>0.9</v>
      </c>
      <c r="D31" s="8">
        <f>D30 * Expected_Weights!F32</f>
        <v>1.0856162562740053</v>
      </c>
    </row>
    <row r="32" spans="1:4" x14ac:dyDescent="0.4">
      <c r="A32" s="2">
        <v>45688</v>
      </c>
      <c r="B32" s="8">
        <v>1.3</v>
      </c>
      <c r="C32" s="8">
        <v>1</v>
      </c>
      <c r="D32" s="8">
        <f>D31 * Expected_Weights!F33</f>
        <v>1.1492525547607579</v>
      </c>
    </row>
    <row r="33" spans="1:4" x14ac:dyDescent="0.4">
      <c r="A33" s="2">
        <v>45689</v>
      </c>
      <c r="B33" s="8">
        <v>1.31</v>
      </c>
      <c r="C33" s="8">
        <v>0.9</v>
      </c>
      <c r="D33" s="8">
        <f>D32 * Expected_Weights!F34</f>
        <v>1.0941644157722259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66B4-691D-4E6C-9B58-26BA46864B57}">
  <dimension ref="A1:N4"/>
  <sheetViews>
    <sheetView tabSelected="1" zoomScale="205" zoomScaleNormal="205" workbookViewId="0">
      <selection activeCell="D3" sqref="D3"/>
    </sheetView>
  </sheetViews>
  <sheetFormatPr defaultRowHeight="14.6" x14ac:dyDescent="0.4"/>
  <cols>
    <col min="1" max="1" width="8.07421875" bestFit="1" customWidth="1"/>
    <col min="2" max="3" width="10.07421875" bestFit="1" customWidth="1"/>
    <col min="4" max="4" width="8.53515625" bestFit="1" customWidth="1"/>
    <col min="5" max="5" width="7.61328125" bestFit="1" customWidth="1"/>
    <col min="6" max="6" width="13.23046875" style="5" bestFit="1" customWidth="1"/>
    <col min="7" max="7" width="7.53515625" style="5" bestFit="1" customWidth="1"/>
    <col min="8" max="8" width="10.15234375" style="5" bestFit="1" customWidth="1"/>
    <col min="9" max="9" width="6.61328125" style="5" bestFit="1" customWidth="1"/>
    <col min="10" max="10" width="6.84375" bestFit="1" customWidth="1"/>
    <col min="11" max="11" width="16.07421875" style="5" bestFit="1" customWidth="1"/>
    <col min="12" max="12" width="15.4609375" style="5" bestFit="1" customWidth="1"/>
    <col min="13" max="13" width="20.07421875" bestFit="1" customWidth="1"/>
  </cols>
  <sheetData>
    <row r="1" spans="1:14" x14ac:dyDescent="0.4">
      <c r="A1" s="1"/>
      <c r="B1" s="1" t="s">
        <v>19</v>
      </c>
      <c r="C1" s="1" t="s">
        <v>20</v>
      </c>
      <c r="D1" s="1" t="s">
        <v>21</v>
      </c>
      <c r="E1" s="1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1" t="s">
        <v>27</v>
      </c>
      <c r="K1" s="4" t="s">
        <v>28</v>
      </c>
      <c r="L1" s="4" t="s">
        <v>29</v>
      </c>
      <c r="M1" s="1" t="s">
        <v>30</v>
      </c>
      <c r="N1" s="1"/>
    </row>
    <row r="2" spans="1:14" x14ac:dyDescent="0.4">
      <c r="A2" t="s">
        <v>14</v>
      </c>
      <c r="B2" s="2">
        <v>45658</v>
      </c>
      <c r="C2" s="2">
        <v>45689</v>
      </c>
      <c r="D2" t="s">
        <v>39</v>
      </c>
      <c r="E2" t="s">
        <v>31</v>
      </c>
      <c r="F2" s="5">
        <v>31</v>
      </c>
      <c r="G2" s="5">
        <v>2308.36</v>
      </c>
      <c r="H2" s="5">
        <v>2.67</v>
      </c>
      <c r="I2" s="5">
        <v>79.53</v>
      </c>
      <c r="J2" t="s">
        <v>32</v>
      </c>
      <c r="K2" s="5">
        <v>0</v>
      </c>
      <c r="L2" s="5">
        <v>0</v>
      </c>
      <c r="M2" t="s">
        <v>33</v>
      </c>
    </row>
    <row r="3" spans="1:14" x14ac:dyDescent="0.4">
      <c r="A3" t="s">
        <v>15</v>
      </c>
      <c r="B3" s="2">
        <v>45658</v>
      </c>
      <c r="C3" s="2">
        <v>45689</v>
      </c>
      <c r="D3" s="9" t="s">
        <v>44</v>
      </c>
      <c r="E3" t="s">
        <v>31</v>
      </c>
      <c r="F3" s="5">
        <v>-10</v>
      </c>
      <c r="G3" s="5">
        <v>-71.099999999999994</v>
      </c>
      <c r="H3" s="5">
        <v>167.17</v>
      </c>
      <c r="I3" s="5">
        <v>0.31</v>
      </c>
      <c r="J3">
        <v>0.47</v>
      </c>
      <c r="K3" s="5">
        <v>-10</v>
      </c>
      <c r="L3" s="5">
        <v>-10</v>
      </c>
      <c r="M3" t="s">
        <v>34</v>
      </c>
    </row>
    <row r="4" spans="1:14" x14ac:dyDescent="0.4">
      <c r="A4" t="s">
        <v>16</v>
      </c>
      <c r="B4" s="2">
        <v>45658</v>
      </c>
      <c r="C4" s="2">
        <v>45689</v>
      </c>
      <c r="D4" s="9" t="s">
        <v>39</v>
      </c>
      <c r="E4" t="s">
        <v>31</v>
      </c>
      <c r="F4" s="5">
        <v>10.5</v>
      </c>
      <c r="G4" s="5">
        <v>224.27</v>
      </c>
      <c r="H4" s="5">
        <v>75.599999999999994</v>
      </c>
      <c r="I4" s="5">
        <v>1.4</v>
      </c>
      <c r="J4">
        <v>2.2599999999999998</v>
      </c>
      <c r="K4" s="5">
        <v>-4.5</v>
      </c>
      <c r="L4" s="5">
        <v>-4.1900000000000004</v>
      </c>
      <c r="M4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Portfolios</vt:lpstr>
      <vt:lpstr>Assets</vt:lpstr>
      <vt:lpstr>Prices</vt:lpstr>
      <vt:lpstr>Expected_Weights</vt:lpstr>
      <vt:lpstr>Expected_Values</vt:lpstr>
      <vt:lpstr>Expected_Stats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2026-04-22T12:31:36Z</dcterms:modified>
</cp:coreProperties>
</file>