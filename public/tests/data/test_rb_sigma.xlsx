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code\github\jonaskello\backcel\public\tests\data\"/>
    </mc:Choice>
  </mc:AlternateContent>
  <xr:revisionPtr revIDLastSave="0" documentId="13_ncr:1_{92F699CF-9FDC-4DE4-9D96-8FE8FC12A1B6}" xr6:coauthVersionLast="47" xr6:coauthVersionMax="47" xr10:uidLastSave="{00000000-0000-0000-0000-000000000000}"/>
  <bookViews>
    <workbookView xWindow="-103" yWindow="-103" windowWidth="33120" windowHeight="18000" activeTab="6" xr2:uid="{00000000-000D-0000-FFFF-FFFF00000000}"/>
  </bookViews>
  <sheets>
    <sheet name="Main" sheetId="1" r:id="rId1"/>
    <sheet name="Assets" sheetId="4" r:id="rId2"/>
    <sheet name="Prices" sheetId="5" r:id="rId3"/>
    <sheet name="Portfolios" sheetId="2" r:id="rId4"/>
    <sheet name="Expected_Weights" sheetId="7" r:id="rId5"/>
    <sheet name="Expected_Values" sheetId="6" r:id="rId6"/>
    <sheet name="Expected_Stats" sheetId="10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" i="7" l="1"/>
  <c r="I22" i="7"/>
  <c r="C15" i="7"/>
  <c r="L4" i="7"/>
  <c r="K4" i="7"/>
  <c r="J4" i="7"/>
  <c r="L3" i="7"/>
  <c r="K3" i="7"/>
  <c r="J3" i="7"/>
  <c r="I6" i="7"/>
  <c r="I7" i="7"/>
  <c r="I8" i="7"/>
  <c r="I9" i="7"/>
  <c r="I10" i="7"/>
  <c r="I11" i="7"/>
  <c r="I12" i="7"/>
  <c r="I13" i="7"/>
  <c r="I14" i="7"/>
  <c r="I15" i="7"/>
  <c r="I5" i="7"/>
  <c r="I4" i="7"/>
  <c r="I3" i="7"/>
  <c r="H6" i="7"/>
  <c r="H7" i="7"/>
  <c r="H8" i="7"/>
  <c r="H9" i="7"/>
  <c r="H10" i="7"/>
  <c r="H11" i="7"/>
  <c r="H12" i="7"/>
  <c r="H13" i="7"/>
  <c r="H14" i="7"/>
  <c r="H15" i="7"/>
  <c r="H5" i="7"/>
  <c r="H4" i="7"/>
  <c r="H3" i="7"/>
  <c r="E6" i="7"/>
  <c r="D6" i="7"/>
  <c r="C6" i="7"/>
  <c r="F4" i="7"/>
  <c r="E5" i="7" s="1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" i="5"/>
  <c r="G4" i="7"/>
  <c r="G3" i="7"/>
  <c r="B29" i="7"/>
  <c r="B30" i="7"/>
  <c r="B31" i="7"/>
  <c r="B32" i="7"/>
  <c r="B33" i="7"/>
  <c r="B34" i="7"/>
  <c r="B20" i="7"/>
  <c r="B21" i="7"/>
  <c r="B22" i="7"/>
  <c r="B23" i="7"/>
  <c r="B24" i="7"/>
  <c r="B25" i="7"/>
  <c r="B26" i="7"/>
  <c r="B27" i="7"/>
  <c r="B28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3" i="7"/>
  <c r="E32" i="5"/>
  <c r="F32" i="5"/>
  <c r="E33" i="5"/>
  <c r="F33" i="5"/>
  <c r="E20" i="5"/>
  <c r="F20" i="5"/>
  <c r="E21" i="5"/>
  <c r="F21" i="5"/>
  <c r="E22" i="5"/>
  <c r="F22" i="5"/>
  <c r="E23" i="5"/>
  <c r="F23" i="5"/>
  <c r="E24" i="5"/>
  <c r="F24" i="5"/>
  <c r="E25" i="5"/>
  <c r="F25" i="5"/>
  <c r="E26" i="5"/>
  <c r="F26" i="5"/>
  <c r="E27" i="5"/>
  <c r="F27" i="5"/>
  <c r="E28" i="5"/>
  <c r="F28" i="5"/>
  <c r="E29" i="5"/>
  <c r="F29" i="5"/>
  <c r="E30" i="5"/>
  <c r="F30" i="5"/>
  <c r="E31" i="5"/>
  <c r="F31" i="5"/>
  <c r="E11" i="5"/>
  <c r="F11" i="5"/>
  <c r="E12" i="5"/>
  <c r="F12" i="5"/>
  <c r="E13" i="5"/>
  <c r="F13" i="5"/>
  <c r="E14" i="5"/>
  <c r="F14" i="5"/>
  <c r="E15" i="5"/>
  <c r="F15" i="5"/>
  <c r="E16" i="5"/>
  <c r="F16" i="5"/>
  <c r="E17" i="5"/>
  <c r="F17" i="5"/>
  <c r="E18" i="5"/>
  <c r="F18" i="5"/>
  <c r="E19" i="5"/>
  <c r="F19" i="5"/>
  <c r="F4" i="5"/>
  <c r="F5" i="5"/>
  <c r="F6" i="5"/>
  <c r="F7" i="5"/>
  <c r="F8" i="5"/>
  <c r="F9" i="5"/>
  <c r="F10" i="5"/>
  <c r="F3" i="5"/>
  <c r="E4" i="5"/>
  <c r="E5" i="5"/>
  <c r="E6" i="5"/>
  <c r="E7" i="5"/>
  <c r="E8" i="5"/>
  <c r="E9" i="5"/>
  <c r="E10" i="5"/>
  <c r="E3" i="5"/>
  <c r="B3" i="6" l="1"/>
  <c r="G5" i="7"/>
  <c r="D5" i="7" l="1"/>
  <c r="C5" i="7"/>
  <c r="F5" i="7" s="1"/>
  <c r="G6" i="7" l="1"/>
  <c r="F6" i="7"/>
  <c r="E7" i="7" s="1"/>
  <c r="B4" i="6"/>
  <c r="C7" i="7" l="1"/>
  <c r="D7" i="7"/>
  <c r="G7" i="7" l="1"/>
  <c r="B5" i="6"/>
  <c r="F7" i="7" l="1"/>
  <c r="D8" i="7" l="1"/>
  <c r="E8" i="7"/>
  <c r="G8" i="7"/>
  <c r="C8" i="7"/>
  <c r="B6" i="6"/>
  <c r="F8" i="7" l="1"/>
  <c r="E9" i="7" s="1"/>
  <c r="D9" i="7" l="1"/>
  <c r="G9" i="7"/>
  <c r="B7" i="6"/>
  <c r="C9" i="7"/>
  <c r="F9" i="7" l="1"/>
  <c r="E10" i="7" l="1"/>
  <c r="D10" i="7"/>
  <c r="C10" i="7"/>
  <c r="F10" i="7" s="1"/>
  <c r="E11" i="7" s="1"/>
  <c r="G10" i="7"/>
  <c r="B8" i="6"/>
  <c r="C11" i="7" l="1"/>
  <c r="D11" i="7"/>
  <c r="G11" i="7"/>
  <c r="B9" i="6"/>
  <c r="F11" i="7" l="1"/>
  <c r="E12" i="7" s="1"/>
  <c r="B10" i="6"/>
  <c r="C12" i="7" l="1"/>
  <c r="D12" i="7"/>
  <c r="G12" i="7"/>
  <c r="F12" i="7"/>
  <c r="E13" i="7" s="1"/>
  <c r="D13" i="7" l="1"/>
  <c r="C13" i="7"/>
  <c r="F13" i="7" s="1"/>
  <c r="B11" i="6"/>
  <c r="G13" i="7"/>
  <c r="D14" i="7" l="1"/>
  <c r="E14" i="7"/>
  <c r="C14" i="7"/>
  <c r="G14" i="7" l="1"/>
  <c r="B12" i="6"/>
  <c r="F14" i="7" l="1"/>
  <c r="E15" i="7" l="1"/>
  <c r="B13" i="6"/>
  <c r="G15" i="7"/>
  <c r="F15" i="7" l="1"/>
  <c r="H16" i="7" l="1"/>
  <c r="I16" i="7"/>
  <c r="D16" i="7"/>
  <c r="E16" i="7"/>
  <c r="C16" i="7"/>
  <c r="G16" i="7"/>
  <c r="B14" i="6"/>
  <c r="F16" i="7" l="1"/>
  <c r="H17" i="7" l="1"/>
  <c r="I17" i="7"/>
  <c r="E17" i="7"/>
  <c r="D17" i="7"/>
  <c r="B15" i="6"/>
  <c r="G17" i="7"/>
  <c r="C17" i="7"/>
  <c r="F17" i="7" l="1"/>
  <c r="E18" i="7"/>
  <c r="I18" i="7"/>
  <c r="H18" i="7"/>
  <c r="C18" i="7"/>
  <c r="G18" i="7"/>
  <c r="D18" i="7"/>
  <c r="B16" i="6"/>
  <c r="F18" i="7"/>
  <c r="H19" i="7" l="1"/>
  <c r="I19" i="7"/>
  <c r="C19" i="7"/>
  <c r="E19" i="7"/>
  <c r="D19" i="7"/>
  <c r="B17" i="6"/>
  <c r="G19" i="7"/>
  <c r="F19" i="7" l="1"/>
  <c r="G20" i="7" s="1"/>
  <c r="E20" i="7" l="1"/>
  <c r="I20" i="7"/>
  <c r="H20" i="7"/>
  <c r="C20" i="7"/>
  <c r="D20" i="7"/>
  <c r="B18" i="6"/>
  <c r="F20" i="7" l="1"/>
  <c r="H21" i="7"/>
  <c r="I21" i="7"/>
  <c r="C21" i="7"/>
  <c r="E21" i="7"/>
  <c r="D21" i="7"/>
  <c r="B19" i="6"/>
  <c r="G21" i="7"/>
  <c r="F21" i="7" l="1"/>
  <c r="H22" i="7" l="1"/>
  <c r="D22" i="7"/>
  <c r="B20" i="6"/>
  <c r="G22" i="7"/>
  <c r="F22" i="7" l="1"/>
  <c r="I23" i="7" l="1"/>
  <c r="C23" i="7"/>
  <c r="H23" i="7"/>
  <c r="G23" i="7"/>
  <c r="E23" i="7"/>
  <c r="D23" i="7"/>
  <c r="B21" i="6"/>
  <c r="F23" i="7" l="1"/>
  <c r="I24" i="7" s="1"/>
  <c r="E24" i="7" l="1"/>
  <c r="H24" i="7"/>
  <c r="C24" i="7"/>
  <c r="D24" i="7"/>
  <c r="B22" i="6"/>
  <c r="G24" i="7"/>
  <c r="F24" i="7" l="1"/>
  <c r="I25" i="7" l="1"/>
  <c r="H25" i="7"/>
  <c r="D25" i="7"/>
  <c r="G25" i="7"/>
  <c r="C25" i="7"/>
  <c r="B23" i="6"/>
  <c r="E25" i="7"/>
  <c r="F25" i="7" l="1"/>
  <c r="B24" i="6" s="1"/>
  <c r="I26" i="7" l="1"/>
  <c r="H26" i="7"/>
  <c r="D26" i="7"/>
  <c r="E26" i="7"/>
  <c r="C26" i="7"/>
  <c r="G26" i="7"/>
  <c r="F26" i="7" l="1"/>
  <c r="C27" i="7" l="1"/>
  <c r="F27" i="7" s="1"/>
  <c r="G28" i="7" s="1"/>
  <c r="I27" i="7"/>
  <c r="G27" i="7"/>
  <c r="E27" i="7"/>
  <c r="B25" i="6"/>
  <c r="D27" i="7"/>
  <c r="H27" i="7"/>
  <c r="I28" i="7" l="1"/>
  <c r="H28" i="7"/>
  <c r="D28" i="7"/>
  <c r="E28" i="7"/>
  <c r="C28" i="7"/>
  <c r="B26" i="6"/>
  <c r="F28" i="7" l="1"/>
  <c r="H29" i="7"/>
  <c r="D29" i="7"/>
  <c r="E29" i="7" l="1"/>
  <c r="B27" i="6"/>
  <c r="B28" i="6" s="1"/>
  <c r="C29" i="7"/>
  <c r="G29" i="7"/>
  <c r="I29" i="7"/>
  <c r="F29" i="7"/>
  <c r="I30" i="7" s="1"/>
  <c r="H30" i="7"/>
  <c r="D30" i="7"/>
  <c r="E30" i="7" l="1"/>
  <c r="C30" i="7"/>
  <c r="G30" i="7"/>
  <c r="F30" i="7"/>
  <c r="I31" i="7" s="1"/>
  <c r="E31" i="7" l="1"/>
  <c r="H31" i="7"/>
  <c r="C31" i="7"/>
  <c r="D31" i="7"/>
  <c r="B29" i="6"/>
  <c r="G31" i="7"/>
  <c r="F31" i="7" l="1"/>
  <c r="I32" i="7" s="1"/>
  <c r="H32" i="7" l="1"/>
  <c r="D32" i="7"/>
  <c r="E32" i="7"/>
  <c r="G32" i="7"/>
  <c r="C32" i="7"/>
  <c r="B30" i="6"/>
  <c r="F32" i="7" l="1"/>
  <c r="I33" i="7" s="1"/>
  <c r="C33" i="7" l="1"/>
  <c r="G33" i="7"/>
  <c r="B31" i="6"/>
  <c r="H33" i="7"/>
  <c r="E33" i="7"/>
  <c r="D33" i="7"/>
  <c r="F33" i="7" l="1"/>
  <c r="C34" i="7" l="1"/>
  <c r="E34" i="7"/>
  <c r="I34" i="7"/>
  <c r="H34" i="7"/>
  <c r="D34" i="7"/>
  <c r="B32" i="6"/>
  <c r="G34" i="7"/>
  <c r="F34" i="7" l="1"/>
  <c r="B33" i="6" s="1"/>
</calcChain>
</file>

<file path=xl/sharedStrings.xml><?xml version="1.0" encoding="utf-8"?>
<sst xmlns="http://schemas.openxmlformats.org/spreadsheetml/2006/main" count="71" uniqueCount="51">
  <si>
    <t>Name</t>
  </si>
  <si>
    <t>Value</t>
  </si>
  <si>
    <t>currency</t>
  </si>
  <si>
    <t>SEK</t>
  </si>
  <si>
    <t>start</t>
  </si>
  <si>
    <t>end</t>
  </si>
  <si>
    <t>Assets</t>
  </si>
  <si>
    <t>ID</t>
  </si>
  <si>
    <t>A1</t>
  </si>
  <si>
    <t>A2</t>
  </si>
  <si>
    <t>The first asset</t>
  </si>
  <si>
    <t>The second asset</t>
  </si>
  <si>
    <t>Portfolios</t>
  </si>
  <si>
    <t>Date</t>
  </si>
  <si>
    <t>P1</t>
  </si>
  <si>
    <t>Asset</t>
  </si>
  <si>
    <t>Portfolio</t>
  </si>
  <si>
    <t>Start</t>
  </si>
  <si>
    <t>End</t>
  </si>
  <si>
    <t>RB Check</t>
  </si>
  <si>
    <t>RB Type</t>
  </si>
  <si>
    <t>Total Return %</t>
  </si>
  <si>
    <t>CAGR %</t>
  </si>
  <si>
    <t>Volatility %</t>
  </si>
  <si>
    <t>Sharpe</t>
  </si>
  <si>
    <t>Sortino</t>
  </si>
  <si>
    <t>Max Drawdown %</t>
  </si>
  <si>
    <t>Avg Drawdown %</t>
  </si>
  <si>
    <t>Max Drawdown Period</t>
  </si>
  <si>
    <t>1 days</t>
  </si>
  <si>
    <t>portfolios</t>
  </si>
  <si>
    <t>assets</t>
  </si>
  <si>
    <t>__rb_check</t>
  </si>
  <si>
    <t>__rb_type</t>
  </si>
  <si>
    <t>weekly</t>
  </si>
  <si>
    <t>_A1_grow</t>
  </si>
  <si>
    <t>_A2_grow</t>
  </si>
  <si>
    <t>_grow</t>
  </si>
  <si>
    <t>_WD</t>
  </si>
  <si>
    <t>_P1</t>
  </si>
  <si>
    <t>sigma</t>
  </si>
  <si>
    <t>StdDev</t>
  </si>
  <si>
    <t>_A3_grow</t>
  </si>
  <si>
    <t>A3</t>
  </si>
  <si>
    <t>The third asset</t>
  </si>
  <si>
    <t>_A1_unbal</t>
  </si>
  <si>
    <t>_A2_unbal</t>
  </si>
  <si>
    <t>_A3_unbal</t>
  </si>
  <si>
    <t>_A1_lim</t>
  </si>
  <si>
    <t>_A2_lim</t>
  </si>
  <si>
    <t>_A3_lim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</si>
</sst>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0%"/>
    <numFmt numFmtId="166" formatCode="[$]dddd" x16r2:formatCode16="[$-en-SE]dddd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2" fontId="1" fillId="0" borderId="0" xfId="0" applyNumberFormat="1" applyFont="1"/>
    <xf numFmtId="2" fontId="0" fillId="0" borderId="0" xfId="0" applyNumberFormat="1"/>
    <xf numFmtId="164" fontId="1" fillId="0" borderId="0" xfId="0" applyNumberFormat="1" applyFont="1"/>
    <xf numFmtId="164" fontId="0" fillId="0" borderId="0" xfId="0" applyNumberFormat="1"/>
    <xf numFmtId="10" fontId="1" fillId="0" borderId="0" xfId="0" applyNumberFormat="1" applyFont="1"/>
    <xf numFmtId="10" fontId="0" fillId="0" borderId="0" xfId="0" applyNumberFormat="1"/>
    <xf numFmtId="165" fontId="1" fillId="0" borderId="0" xfId="0" applyNumberFormat="1" applyFont="1"/>
    <xf numFmtId="166" fontId="0" fillId="0" borderId="0" xfId="0" applyNumberFormat="1" applyAlignment="1">
      <alignment horizontal="left"/>
    </xf>
    <xf numFmtId="166" fontId="1" fillId="0" borderId="0" xfId="0" applyNumberFormat="1" applyFont="1" applyAlignment="1">
      <alignment horizontal="left"/>
    </xf>
    <xf numFmtId="0" fontId="0" fillId="0" borderId="0" xfId="0" applyFont="1"/>
    <xf numFmtId="10" fontId="0" fillId="0" borderId="0" xfId="0" applyNumberFormat="1" applyFont="1"/>
    <xf numFmtId="10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zoomScale="160" zoomScaleNormal="160" workbookViewId="0">
      <selection activeCell="A7" sqref="A7"/>
    </sheetView>
  </sheetViews>
  <sheetFormatPr defaultRowHeight="14.6" x14ac:dyDescent="0.4"/>
  <cols>
    <col min="1" max="1" width="8.84375" bestFit="1" customWidth="1"/>
    <col min="2" max="2" width="13.4609375" bestFit="1" customWidth="1"/>
  </cols>
  <sheetData>
    <row r="1" spans="1:2" x14ac:dyDescent="0.4">
      <c r="A1" s="1" t="s">
        <v>0</v>
      </c>
      <c r="B1" s="1" t="s">
        <v>1</v>
      </c>
    </row>
    <row r="2" spans="1:2" x14ac:dyDescent="0.4">
      <c r="A2" t="s">
        <v>2</v>
      </c>
      <c r="B2" t="s">
        <v>3</v>
      </c>
    </row>
    <row r="3" spans="1:2" x14ac:dyDescent="0.4">
      <c r="A3" t="s">
        <v>4</v>
      </c>
      <c r="B3" s="2">
        <v>45658</v>
      </c>
    </row>
    <row r="4" spans="1:2" x14ac:dyDescent="0.4">
      <c r="A4" t="s">
        <v>5</v>
      </c>
      <c r="B4" s="2">
        <v>45689</v>
      </c>
    </row>
    <row r="5" spans="1:2" x14ac:dyDescent="0.4">
      <c r="A5" t="s">
        <v>30</v>
      </c>
      <c r="B5" t="s">
        <v>12</v>
      </c>
    </row>
    <row r="6" spans="1:2" x14ac:dyDescent="0.4">
      <c r="A6" t="s">
        <v>31</v>
      </c>
      <c r="B6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71D88-DDEC-4A65-8905-A99CA73725FC}">
  <dimension ref="A1:D4"/>
  <sheetViews>
    <sheetView zoomScale="175" zoomScaleNormal="175" workbookViewId="0">
      <selection activeCell="C3" sqref="C3"/>
    </sheetView>
  </sheetViews>
  <sheetFormatPr defaultRowHeight="14.6" x14ac:dyDescent="0.4"/>
  <cols>
    <col min="2" max="2" width="14.921875" bestFit="1" customWidth="1"/>
  </cols>
  <sheetData>
    <row r="1" spans="1:4" x14ac:dyDescent="0.4">
      <c r="A1" s="1" t="s">
        <v>7</v>
      </c>
      <c r="B1" s="1" t="s">
        <v>0</v>
      </c>
      <c r="C1" s="1" t="s">
        <v>41</v>
      </c>
      <c r="D1" s="1"/>
    </row>
    <row r="2" spans="1:4" x14ac:dyDescent="0.4">
      <c r="A2" t="s">
        <v>8</v>
      </c>
      <c r="B2" t="s">
        <v>10</v>
      </c>
      <c r="C2" s="3">
        <v>0.1</v>
      </c>
    </row>
    <row r="3" spans="1:4" x14ac:dyDescent="0.4">
      <c r="A3" t="s">
        <v>9</v>
      </c>
      <c r="B3" t="s">
        <v>11</v>
      </c>
      <c r="C3" s="3">
        <v>0.1</v>
      </c>
    </row>
    <row r="4" spans="1:4" x14ac:dyDescent="0.4">
      <c r="A4" t="s">
        <v>43</v>
      </c>
      <c r="B4" t="s">
        <v>44</v>
      </c>
      <c r="C4" s="3">
        <v>0.1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42483-BB80-4E18-92F0-22F7848078C4}">
  <dimension ref="A1:G33"/>
  <sheetViews>
    <sheetView zoomScale="190" zoomScaleNormal="190" workbookViewId="0">
      <selection sqref="A1:D33"/>
    </sheetView>
  </sheetViews>
  <sheetFormatPr defaultRowHeight="14.6" x14ac:dyDescent="0.4"/>
  <cols>
    <col min="1" max="1" width="10.07421875" bestFit="1" customWidth="1"/>
    <col min="5" max="5" width="9.23046875" style="7"/>
  </cols>
  <sheetData>
    <row r="1" spans="1:7" x14ac:dyDescent="0.4">
      <c r="A1" s="1" t="s">
        <v>13</v>
      </c>
      <c r="B1" s="1" t="s">
        <v>8</v>
      </c>
      <c r="C1" s="1" t="s">
        <v>9</v>
      </c>
      <c r="D1" s="1" t="s">
        <v>43</v>
      </c>
      <c r="E1" s="6" t="s">
        <v>35</v>
      </c>
      <c r="F1" s="10" t="s">
        <v>36</v>
      </c>
      <c r="G1" s="10" t="s">
        <v>42</v>
      </c>
    </row>
    <row r="2" spans="1:7" x14ac:dyDescent="0.4">
      <c r="A2" s="2">
        <v>45658</v>
      </c>
      <c r="B2">
        <v>100</v>
      </c>
      <c r="C2">
        <v>100</v>
      </c>
      <c r="D2">
        <v>200</v>
      </c>
      <c r="E2" s="7">
        <v>0</v>
      </c>
      <c r="F2" s="7">
        <v>0</v>
      </c>
      <c r="G2" s="7">
        <v>0</v>
      </c>
    </row>
    <row r="3" spans="1:7" x14ac:dyDescent="0.4">
      <c r="A3" s="2">
        <v>45659</v>
      </c>
      <c r="B3">
        <v>101</v>
      </c>
      <c r="C3">
        <v>90</v>
      </c>
      <c r="D3">
        <v>199</v>
      </c>
      <c r="E3" s="7">
        <f>B3/B2</f>
        <v>1.01</v>
      </c>
      <c r="F3" s="7">
        <f>C3/C2</f>
        <v>0.9</v>
      </c>
      <c r="G3" s="7">
        <f>D3/D2</f>
        <v>0.995</v>
      </c>
    </row>
    <row r="4" spans="1:7" x14ac:dyDescent="0.4">
      <c r="A4" s="2">
        <v>45660</v>
      </c>
      <c r="B4">
        <v>102</v>
      </c>
      <c r="C4">
        <v>100</v>
      </c>
      <c r="D4">
        <v>198</v>
      </c>
      <c r="E4" s="7">
        <f t="shared" ref="E4:E10" si="0">B4/B3</f>
        <v>1.0099009900990099</v>
      </c>
      <c r="F4" s="7">
        <f t="shared" ref="F4:F10" si="1">C4/C3</f>
        <v>1.1111111111111112</v>
      </c>
      <c r="G4" s="7">
        <f t="shared" ref="G4:G33" si="2">D4/D3</f>
        <v>0.99497487437185927</v>
      </c>
    </row>
    <row r="5" spans="1:7" x14ac:dyDescent="0.4">
      <c r="A5" s="2">
        <v>45661</v>
      </c>
      <c r="B5">
        <v>103</v>
      </c>
      <c r="C5">
        <v>90</v>
      </c>
      <c r="D5">
        <v>197</v>
      </c>
      <c r="E5" s="7">
        <f t="shared" si="0"/>
        <v>1.0098039215686274</v>
      </c>
      <c r="F5" s="7">
        <f t="shared" si="1"/>
        <v>0.9</v>
      </c>
      <c r="G5" s="7">
        <f t="shared" si="2"/>
        <v>0.99494949494949492</v>
      </c>
    </row>
    <row r="6" spans="1:7" x14ac:dyDescent="0.4">
      <c r="A6" s="2">
        <v>45662</v>
      </c>
      <c r="B6">
        <v>104</v>
      </c>
      <c r="C6">
        <v>100</v>
      </c>
      <c r="D6">
        <v>196</v>
      </c>
      <c r="E6" s="7">
        <f t="shared" si="0"/>
        <v>1.0097087378640777</v>
      </c>
      <c r="F6" s="7">
        <f t="shared" si="1"/>
        <v>1.1111111111111112</v>
      </c>
      <c r="G6" s="7">
        <f t="shared" si="2"/>
        <v>0.99492385786802029</v>
      </c>
    </row>
    <row r="7" spans="1:7" x14ac:dyDescent="0.4">
      <c r="A7" s="2">
        <v>45663</v>
      </c>
      <c r="B7">
        <v>105</v>
      </c>
      <c r="C7">
        <v>90</v>
      </c>
      <c r="D7">
        <v>195</v>
      </c>
      <c r="E7" s="7">
        <f t="shared" si="0"/>
        <v>1.0096153846153846</v>
      </c>
      <c r="F7" s="7">
        <f t="shared" si="1"/>
        <v>0.9</v>
      </c>
      <c r="G7" s="7">
        <f t="shared" si="2"/>
        <v>0.99489795918367352</v>
      </c>
    </row>
    <row r="8" spans="1:7" x14ac:dyDescent="0.4">
      <c r="A8" s="2">
        <v>45664</v>
      </c>
      <c r="B8">
        <v>106</v>
      </c>
      <c r="C8">
        <v>100</v>
      </c>
      <c r="D8">
        <v>194</v>
      </c>
      <c r="E8" s="7">
        <f t="shared" si="0"/>
        <v>1.0095238095238095</v>
      </c>
      <c r="F8" s="7">
        <f t="shared" si="1"/>
        <v>1.1111111111111112</v>
      </c>
      <c r="G8" s="7">
        <f t="shared" si="2"/>
        <v>0.99487179487179489</v>
      </c>
    </row>
    <row r="9" spans="1:7" x14ac:dyDescent="0.4">
      <c r="A9" s="2">
        <v>45665</v>
      </c>
      <c r="B9">
        <v>107</v>
      </c>
      <c r="C9">
        <v>90</v>
      </c>
      <c r="D9">
        <v>193</v>
      </c>
      <c r="E9" s="7">
        <f t="shared" si="0"/>
        <v>1.0094339622641511</v>
      </c>
      <c r="F9" s="7">
        <f t="shared" si="1"/>
        <v>0.9</v>
      </c>
      <c r="G9" s="7">
        <f t="shared" si="2"/>
        <v>0.99484536082474229</v>
      </c>
    </row>
    <row r="10" spans="1:7" x14ac:dyDescent="0.4">
      <c r="A10" s="2">
        <v>45666</v>
      </c>
      <c r="B10">
        <v>108</v>
      </c>
      <c r="C10">
        <v>100</v>
      </c>
      <c r="D10">
        <v>192</v>
      </c>
      <c r="E10" s="7">
        <f t="shared" si="0"/>
        <v>1.0093457943925233</v>
      </c>
      <c r="F10" s="7">
        <f t="shared" si="1"/>
        <v>1.1111111111111112</v>
      </c>
      <c r="G10" s="7">
        <f t="shared" si="2"/>
        <v>0.99481865284974091</v>
      </c>
    </row>
    <row r="11" spans="1:7" x14ac:dyDescent="0.4">
      <c r="A11" s="2">
        <v>45667</v>
      </c>
      <c r="B11">
        <v>109</v>
      </c>
      <c r="C11">
        <v>90</v>
      </c>
      <c r="D11">
        <v>191</v>
      </c>
      <c r="E11" s="7">
        <f t="shared" ref="E11:E20" si="3">B11/B10</f>
        <v>1.0092592592592593</v>
      </c>
      <c r="F11" s="7">
        <f t="shared" ref="F11:F20" si="4">C11/C10</f>
        <v>0.9</v>
      </c>
      <c r="G11" s="7">
        <f t="shared" si="2"/>
        <v>0.99479166666666663</v>
      </c>
    </row>
    <row r="12" spans="1:7" x14ac:dyDescent="0.4">
      <c r="A12" s="2">
        <v>45668</v>
      </c>
      <c r="B12">
        <v>110</v>
      </c>
      <c r="C12">
        <v>100</v>
      </c>
      <c r="D12">
        <v>190</v>
      </c>
      <c r="E12" s="7">
        <f t="shared" si="3"/>
        <v>1.0091743119266054</v>
      </c>
      <c r="F12" s="7">
        <f t="shared" si="4"/>
        <v>1.1111111111111112</v>
      </c>
      <c r="G12" s="7">
        <f t="shared" si="2"/>
        <v>0.99476439790575921</v>
      </c>
    </row>
    <row r="13" spans="1:7" x14ac:dyDescent="0.4">
      <c r="A13" s="2">
        <v>45669</v>
      </c>
      <c r="B13">
        <v>111</v>
      </c>
      <c r="C13">
        <v>90</v>
      </c>
      <c r="D13">
        <v>189</v>
      </c>
      <c r="E13" s="7">
        <f t="shared" si="3"/>
        <v>1.009090909090909</v>
      </c>
      <c r="F13" s="7">
        <f t="shared" si="4"/>
        <v>0.9</v>
      </c>
      <c r="G13" s="7">
        <f t="shared" si="2"/>
        <v>0.99473684210526314</v>
      </c>
    </row>
    <row r="14" spans="1:7" x14ac:dyDescent="0.4">
      <c r="A14" s="2">
        <v>45670</v>
      </c>
      <c r="B14">
        <v>112</v>
      </c>
      <c r="C14">
        <v>100</v>
      </c>
      <c r="D14">
        <v>188</v>
      </c>
      <c r="E14" s="7">
        <f t="shared" si="3"/>
        <v>1.0090090090090089</v>
      </c>
      <c r="F14" s="7">
        <f t="shared" si="4"/>
        <v>1.1111111111111112</v>
      </c>
      <c r="G14" s="7">
        <f t="shared" si="2"/>
        <v>0.99470899470899465</v>
      </c>
    </row>
    <row r="15" spans="1:7" x14ac:dyDescent="0.4">
      <c r="A15" s="2">
        <v>45671</v>
      </c>
      <c r="B15">
        <v>113</v>
      </c>
      <c r="C15">
        <v>90</v>
      </c>
      <c r="D15">
        <v>187</v>
      </c>
      <c r="E15" s="7">
        <f t="shared" si="3"/>
        <v>1.0089285714285714</v>
      </c>
      <c r="F15" s="7">
        <f t="shared" si="4"/>
        <v>0.9</v>
      </c>
      <c r="G15" s="7">
        <f t="shared" si="2"/>
        <v>0.99468085106382975</v>
      </c>
    </row>
    <row r="16" spans="1:7" x14ac:dyDescent="0.4">
      <c r="A16" s="2">
        <v>45672</v>
      </c>
      <c r="B16">
        <v>114</v>
      </c>
      <c r="C16">
        <v>100</v>
      </c>
      <c r="D16">
        <v>186</v>
      </c>
      <c r="E16" s="7">
        <f t="shared" si="3"/>
        <v>1.0088495575221239</v>
      </c>
      <c r="F16" s="7">
        <f t="shared" si="4"/>
        <v>1.1111111111111112</v>
      </c>
      <c r="G16" s="7">
        <f t="shared" si="2"/>
        <v>0.99465240641711228</v>
      </c>
    </row>
    <row r="17" spans="1:7" x14ac:dyDescent="0.4">
      <c r="A17" s="2">
        <v>45673</v>
      </c>
      <c r="B17">
        <v>115</v>
      </c>
      <c r="C17">
        <v>90</v>
      </c>
      <c r="D17">
        <v>185</v>
      </c>
      <c r="E17" s="7">
        <f t="shared" si="3"/>
        <v>1.0087719298245614</v>
      </c>
      <c r="F17" s="7">
        <f t="shared" si="4"/>
        <v>0.9</v>
      </c>
      <c r="G17" s="7">
        <f t="shared" si="2"/>
        <v>0.9946236559139785</v>
      </c>
    </row>
    <row r="18" spans="1:7" x14ac:dyDescent="0.4">
      <c r="A18" s="2">
        <v>45674</v>
      </c>
      <c r="B18">
        <v>116</v>
      </c>
      <c r="C18">
        <v>100</v>
      </c>
      <c r="D18">
        <v>184</v>
      </c>
      <c r="E18" s="7">
        <f t="shared" si="3"/>
        <v>1.008695652173913</v>
      </c>
      <c r="F18" s="7">
        <f t="shared" si="4"/>
        <v>1.1111111111111112</v>
      </c>
      <c r="G18" s="7">
        <f t="shared" si="2"/>
        <v>0.99459459459459465</v>
      </c>
    </row>
    <row r="19" spans="1:7" x14ac:dyDescent="0.4">
      <c r="A19" s="2">
        <v>45675</v>
      </c>
      <c r="B19">
        <v>117</v>
      </c>
      <c r="C19">
        <v>90</v>
      </c>
      <c r="D19">
        <v>183</v>
      </c>
      <c r="E19" s="7">
        <f t="shared" si="3"/>
        <v>1.0086206896551724</v>
      </c>
      <c r="F19" s="7">
        <f t="shared" si="4"/>
        <v>0.9</v>
      </c>
      <c r="G19" s="7">
        <f t="shared" si="2"/>
        <v>0.99456521739130432</v>
      </c>
    </row>
    <row r="20" spans="1:7" x14ac:dyDescent="0.4">
      <c r="A20" s="2">
        <v>45676</v>
      </c>
      <c r="B20">
        <v>118</v>
      </c>
      <c r="C20">
        <v>100</v>
      </c>
      <c r="D20">
        <v>182</v>
      </c>
      <c r="E20" s="7">
        <f t="shared" si="3"/>
        <v>1.0085470085470085</v>
      </c>
      <c r="F20" s="7">
        <f t="shared" si="4"/>
        <v>1.1111111111111112</v>
      </c>
      <c r="G20" s="7">
        <f t="shared" si="2"/>
        <v>0.99453551912568305</v>
      </c>
    </row>
    <row r="21" spans="1:7" x14ac:dyDescent="0.4">
      <c r="A21" s="2">
        <v>45677</v>
      </c>
      <c r="B21">
        <v>119</v>
      </c>
      <c r="C21">
        <v>90</v>
      </c>
      <c r="D21">
        <v>181</v>
      </c>
      <c r="E21" s="7">
        <f t="shared" ref="E21:E33" si="5">B21/B20</f>
        <v>1.0084745762711864</v>
      </c>
      <c r="F21" s="7">
        <f t="shared" ref="F21:F33" si="6">C21/C20</f>
        <v>0.9</v>
      </c>
      <c r="G21" s="7">
        <f t="shared" si="2"/>
        <v>0.99450549450549453</v>
      </c>
    </row>
    <row r="22" spans="1:7" x14ac:dyDescent="0.4">
      <c r="A22" s="2">
        <v>45678</v>
      </c>
      <c r="B22">
        <v>120</v>
      </c>
      <c r="C22">
        <v>100</v>
      </c>
      <c r="D22">
        <v>180</v>
      </c>
      <c r="E22" s="7">
        <f t="shared" si="5"/>
        <v>1.0084033613445378</v>
      </c>
      <c r="F22" s="7">
        <f t="shared" si="6"/>
        <v>1.1111111111111112</v>
      </c>
      <c r="G22" s="7">
        <f t="shared" si="2"/>
        <v>0.99447513812154698</v>
      </c>
    </row>
    <row r="23" spans="1:7" x14ac:dyDescent="0.4">
      <c r="A23" s="2">
        <v>45679</v>
      </c>
      <c r="B23">
        <v>121</v>
      </c>
      <c r="C23">
        <v>90</v>
      </c>
      <c r="D23">
        <v>179</v>
      </c>
      <c r="E23" s="7">
        <f t="shared" si="5"/>
        <v>1.0083333333333333</v>
      </c>
      <c r="F23" s="7">
        <f t="shared" si="6"/>
        <v>0.9</v>
      </c>
      <c r="G23" s="7">
        <f t="shared" si="2"/>
        <v>0.99444444444444446</v>
      </c>
    </row>
    <row r="24" spans="1:7" x14ac:dyDescent="0.4">
      <c r="A24" s="2">
        <v>45680</v>
      </c>
      <c r="B24">
        <v>122</v>
      </c>
      <c r="C24">
        <v>100</v>
      </c>
      <c r="D24">
        <v>178</v>
      </c>
      <c r="E24" s="7">
        <f t="shared" si="5"/>
        <v>1.0082644628099173</v>
      </c>
      <c r="F24" s="7">
        <f t="shared" si="6"/>
        <v>1.1111111111111112</v>
      </c>
      <c r="G24" s="7">
        <f t="shared" si="2"/>
        <v>0.994413407821229</v>
      </c>
    </row>
    <row r="25" spans="1:7" x14ac:dyDescent="0.4">
      <c r="A25" s="2">
        <v>45681</v>
      </c>
      <c r="B25">
        <v>123</v>
      </c>
      <c r="C25">
        <v>90</v>
      </c>
      <c r="D25">
        <v>177</v>
      </c>
      <c r="E25" s="7">
        <f t="shared" si="5"/>
        <v>1.0081967213114753</v>
      </c>
      <c r="F25" s="7">
        <f t="shared" si="6"/>
        <v>0.9</v>
      </c>
      <c r="G25" s="7">
        <f t="shared" si="2"/>
        <v>0.9943820224719101</v>
      </c>
    </row>
    <row r="26" spans="1:7" x14ac:dyDescent="0.4">
      <c r="A26" s="2">
        <v>45682</v>
      </c>
      <c r="B26">
        <v>124</v>
      </c>
      <c r="C26">
        <v>100</v>
      </c>
      <c r="D26">
        <v>176</v>
      </c>
      <c r="E26" s="7">
        <f t="shared" si="5"/>
        <v>1.0081300813008129</v>
      </c>
      <c r="F26" s="7">
        <f t="shared" si="6"/>
        <v>1.1111111111111112</v>
      </c>
      <c r="G26" s="7">
        <f t="shared" si="2"/>
        <v>0.99435028248587576</v>
      </c>
    </row>
    <row r="27" spans="1:7" x14ac:dyDescent="0.4">
      <c r="A27" s="2">
        <v>45683</v>
      </c>
      <c r="B27">
        <v>125</v>
      </c>
      <c r="C27">
        <v>90</v>
      </c>
      <c r="D27">
        <v>175</v>
      </c>
      <c r="E27" s="7">
        <f t="shared" si="5"/>
        <v>1.0080645161290323</v>
      </c>
      <c r="F27" s="7">
        <f t="shared" si="6"/>
        <v>0.9</v>
      </c>
      <c r="G27" s="7">
        <f t="shared" si="2"/>
        <v>0.99431818181818177</v>
      </c>
    </row>
    <row r="28" spans="1:7" x14ac:dyDescent="0.4">
      <c r="A28" s="2">
        <v>45684</v>
      </c>
      <c r="B28">
        <v>126</v>
      </c>
      <c r="C28">
        <v>100</v>
      </c>
      <c r="D28">
        <v>174</v>
      </c>
      <c r="E28" s="7">
        <f t="shared" si="5"/>
        <v>1.008</v>
      </c>
      <c r="F28" s="7">
        <f t="shared" si="6"/>
        <v>1.1111111111111112</v>
      </c>
      <c r="G28" s="7">
        <f t="shared" si="2"/>
        <v>0.99428571428571433</v>
      </c>
    </row>
    <row r="29" spans="1:7" x14ac:dyDescent="0.4">
      <c r="A29" s="2">
        <v>45685</v>
      </c>
      <c r="B29">
        <v>127</v>
      </c>
      <c r="C29">
        <v>90</v>
      </c>
      <c r="D29">
        <v>173</v>
      </c>
      <c r="E29" s="7">
        <f t="shared" si="5"/>
        <v>1.0079365079365079</v>
      </c>
      <c r="F29" s="7">
        <f t="shared" si="6"/>
        <v>0.9</v>
      </c>
      <c r="G29" s="7">
        <f t="shared" si="2"/>
        <v>0.99425287356321834</v>
      </c>
    </row>
    <row r="30" spans="1:7" x14ac:dyDescent="0.4">
      <c r="A30" s="2">
        <v>45686</v>
      </c>
      <c r="B30">
        <v>128</v>
      </c>
      <c r="C30">
        <v>100</v>
      </c>
      <c r="D30">
        <v>172</v>
      </c>
      <c r="E30" s="7">
        <f t="shared" si="5"/>
        <v>1.0078740157480315</v>
      </c>
      <c r="F30" s="7">
        <f t="shared" si="6"/>
        <v>1.1111111111111112</v>
      </c>
      <c r="G30" s="7">
        <f t="shared" si="2"/>
        <v>0.9942196531791907</v>
      </c>
    </row>
    <row r="31" spans="1:7" x14ac:dyDescent="0.4">
      <c r="A31" s="2">
        <v>45687</v>
      </c>
      <c r="B31">
        <v>129</v>
      </c>
      <c r="C31">
        <v>90</v>
      </c>
      <c r="D31">
        <v>171</v>
      </c>
      <c r="E31" s="7">
        <f t="shared" si="5"/>
        <v>1.0078125</v>
      </c>
      <c r="F31" s="7">
        <f t="shared" si="6"/>
        <v>0.9</v>
      </c>
      <c r="G31" s="7">
        <f t="shared" si="2"/>
        <v>0.9941860465116279</v>
      </c>
    </row>
    <row r="32" spans="1:7" x14ac:dyDescent="0.4">
      <c r="A32" s="2">
        <v>45688</v>
      </c>
      <c r="B32">
        <v>130</v>
      </c>
      <c r="C32">
        <v>100</v>
      </c>
      <c r="D32">
        <v>170</v>
      </c>
      <c r="E32" s="7">
        <f t="shared" si="5"/>
        <v>1.0077519379844961</v>
      </c>
      <c r="F32" s="7">
        <f t="shared" si="6"/>
        <v>1.1111111111111112</v>
      </c>
      <c r="G32" s="7">
        <f t="shared" si="2"/>
        <v>0.99415204678362568</v>
      </c>
    </row>
    <row r="33" spans="1:7" x14ac:dyDescent="0.4">
      <c r="A33" s="2">
        <v>45689</v>
      </c>
      <c r="B33">
        <v>131</v>
      </c>
      <c r="C33">
        <v>90</v>
      </c>
      <c r="D33">
        <v>169</v>
      </c>
      <c r="E33" s="7">
        <f t="shared" si="5"/>
        <v>1.0076923076923077</v>
      </c>
      <c r="F33" s="7">
        <f t="shared" si="6"/>
        <v>0.9</v>
      </c>
      <c r="G33" s="7">
        <f t="shared" si="2"/>
        <v>0.99411764705882355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DA01E-A3C8-43F7-BE2B-2D20BB66CB4A}">
  <dimension ref="A1:B6"/>
  <sheetViews>
    <sheetView zoomScale="175" zoomScaleNormal="175" workbookViewId="0">
      <selection activeCell="A7" sqref="A7"/>
    </sheetView>
  </sheetViews>
  <sheetFormatPr defaultRowHeight="14.6" x14ac:dyDescent="0.4"/>
  <cols>
    <col min="1" max="1" width="10.3046875" bestFit="1" customWidth="1"/>
  </cols>
  <sheetData>
    <row r="1" spans="1:2" x14ac:dyDescent="0.4">
      <c r="A1" s="1" t="s">
        <v>7</v>
      </c>
      <c r="B1" s="1" t="s">
        <v>14</v>
      </c>
    </row>
    <row r="2" spans="1:2" x14ac:dyDescent="0.4">
      <c r="A2" s="1" t="s">
        <v>32</v>
      </c>
      <c r="B2" t="s">
        <v>34</v>
      </c>
    </row>
    <row r="3" spans="1:2" x14ac:dyDescent="0.4">
      <c r="A3" s="1" t="s">
        <v>33</v>
      </c>
      <c r="B3" t="s">
        <v>40</v>
      </c>
    </row>
    <row r="4" spans="1:2" x14ac:dyDescent="0.4">
      <c r="A4" t="s">
        <v>8</v>
      </c>
      <c r="B4" s="3">
        <v>0.5</v>
      </c>
    </row>
    <row r="5" spans="1:2" x14ac:dyDescent="0.4">
      <c r="A5" t="s">
        <v>9</v>
      </c>
      <c r="B5" s="3">
        <v>0.25</v>
      </c>
    </row>
    <row r="6" spans="1:2" x14ac:dyDescent="0.4">
      <c r="A6" s="13" t="s">
        <v>43</v>
      </c>
      <c r="B6" s="3">
        <v>0.25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A1201-9593-4FA8-BE4A-D6543E3F5A5B}">
  <dimension ref="A1:L34"/>
  <sheetViews>
    <sheetView topLeftCell="A16" zoomScale="190" zoomScaleNormal="190" workbookViewId="0">
      <selection activeCell="C29" sqref="C29"/>
    </sheetView>
  </sheetViews>
  <sheetFormatPr defaultRowHeight="14.6" x14ac:dyDescent="0.4"/>
  <cols>
    <col min="1" max="1" width="10.07421875" bestFit="1" customWidth="1"/>
    <col min="2" max="2" width="10.4609375" bestFit="1" customWidth="1"/>
    <col min="6" max="6" width="11.15234375" bestFit="1" customWidth="1"/>
    <col min="7" max="7" width="9.765625" style="9" bestFit="1" customWidth="1"/>
  </cols>
  <sheetData>
    <row r="1" spans="1:12" x14ac:dyDescent="0.4">
      <c r="A1" s="1" t="s">
        <v>16</v>
      </c>
      <c r="B1" s="1" t="s">
        <v>38</v>
      </c>
      <c r="C1" s="8" t="s">
        <v>14</v>
      </c>
      <c r="D1" s="8" t="s">
        <v>14</v>
      </c>
      <c r="E1" s="8" t="s">
        <v>14</v>
      </c>
      <c r="F1" s="8" t="s">
        <v>39</v>
      </c>
    </row>
    <row r="2" spans="1:12" x14ac:dyDescent="0.4">
      <c r="A2" s="1" t="s">
        <v>15</v>
      </c>
      <c r="B2" s="1" t="s">
        <v>38</v>
      </c>
      <c r="C2" s="8" t="s">
        <v>8</v>
      </c>
      <c r="D2" s="8" t="s">
        <v>9</v>
      </c>
      <c r="E2" s="8" t="s">
        <v>43</v>
      </c>
      <c r="F2" s="8" t="s">
        <v>37</v>
      </c>
      <c r="G2" s="8" t="s">
        <v>45</v>
      </c>
      <c r="H2" s="8" t="s">
        <v>46</v>
      </c>
      <c r="I2" s="8" t="s">
        <v>47</v>
      </c>
      <c r="J2" s="8" t="s">
        <v>48</v>
      </c>
      <c r="K2" s="8" t="s">
        <v>49</v>
      </c>
      <c r="L2" s="8" t="s">
        <v>50</v>
      </c>
    </row>
    <row r="3" spans="1:12" x14ac:dyDescent="0.4">
      <c r="A3" s="2">
        <v>45658</v>
      </c>
      <c r="B3" s="11">
        <f t="shared" ref="B3:B34" si="0">A3</f>
        <v>45658</v>
      </c>
      <c r="C3" s="9">
        <v>0.5</v>
      </c>
      <c r="D3" s="9">
        <v>0.25</v>
      </c>
      <c r="E3" s="9">
        <v>0.25</v>
      </c>
      <c r="F3" s="7">
        <v>1</v>
      </c>
      <c r="G3" s="9">
        <f>C3</f>
        <v>0.5</v>
      </c>
      <c r="H3" s="9">
        <f>D3</f>
        <v>0.25</v>
      </c>
      <c r="I3" s="9">
        <f>E3</f>
        <v>0.25</v>
      </c>
      <c r="J3" s="9">
        <f>C3+C3*Assets!$C2</f>
        <v>0.55000000000000004</v>
      </c>
      <c r="K3" s="9">
        <f>D3+D3*Assets!$C3</f>
        <v>0.27500000000000002</v>
      </c>
      <c r="L3" s="9">
        <f>E3+E3*Assets!$C4</f>
        <v>0.27500000000000002</v>
      </c>
    </row>
    <row r="4" spans="1:12" x14ac:dyDescent="0.4">
      <c r="A4" s="2">
        <v>45659</v>
      </c>
      <c r="B4" s="11">
        <f t="shared" si="0"/>
        <v>45659</v>
      </c>
      <c r="C4" s="9">
        <v>0.5</v>
      </c>
      <c r="D4" s="9">
        <v>0.25</v>
      </c>
      <c r="E4" s="9">
        <v>0.25</v>
      </c>
      <c r="F4" s="7">
        <f xml:space="preserve"> $C4 * Prices!$E3 + $D4 * Prices!$F3 + $E4 * Prices!$G3</f>
        <v>0.97875000000000001</v>
      </c>
      <c r="G4" s="9">
        <f>C4</f>
        <v>0.5</v>
      </c>
      <c r="H4" s="9">
        <f>D4</f>
        <v>0.25</v>
      </c>
      <c r="I4" s="9">
        <f>E4</f>
        <v>0.25</v>
      </c>
      <c r="J4" s="9">
        <f>C4-C4*Assets!$C2</f>
        <v>0.45</v>
      </c>
      <c r="K4" s="9">
        <f>D4-D4*Assets!$C3</f>
        <v>0.22500000000000001</v>
      </c>
      <c r="L4" s="9">
        <f>E4-E4*Assets!$C4</f>
        <v>0.22500000000000001</v>
      </c>
    </row>
    <row r="5" spans="1:12" x14ac:dyDescent="0.4">
      <c r="A5" s="2">
        <v>45660</v>
      </c>
      <c r="B5" s="11">
        <f t="shared" si="0"/>
        <v>45660</v>
      </c>
      <c r="C5" s="9">
        <f>(C4 * Prices!E3) / $F4</f>
        <v>0.51596424010217112</v>
      </c>
      <c r="D5" s="9">
        <f>(D4 * Prices!F3) / $F4</f>
        <v>0.22988505747126436</v>
      </c>
      <c r="E5" s="9">
        <f>(E4 * Prices!G3) / $F4</f>
        <v>0.25415070242656451</v>
      </c>
      <c r="F5" s="7">
        <f xml:space="preserve"> $C5 * Prices!$E4 + $D5 * Prices!$F4 + $E5 * Prices!$G4</f>
        <v>1.029374201787995</v>
      </c>
      <c r="G5" s="9">
        <f>(C4 * Prices!E3) / $F4</f>
        <v>0.51596424010217112</v>
      </c>
      <c r="H5" s="9">
        <f>(D4 * Prices!F3) / $F4</f>
        <v>0.22988505747126436</v>
      </c>
      <c r="I5" s="9">
        <f>(E4 * Prices!G3) / $F4</f>
        <v>0.25415070242656451</v>
      </c>
    </row>
    <row r="6" spans="1:12" x14ac:dyDescent="0.4">
      <c r="A6" s="2">
        <v>45661</v>
      </c>
      <c r="B6" s="11">
        <f t="shared" si="0"/>
        <v>45661</v>
      </c>
      <c r="C6" s="9">
        <f>(C5 * Prices!E4) / $F5</f>
        <v>0.50620347394540932</v>
      </c>
      <c r="D6" s="9">
        <f>(D5 * Prices!F4) / $F5</f>
        <v>0.24813895781637715</v>
      </c>
      <c r="E6" s="9">
        <f>(E5 * Prices!G4) / $F5</f>
        <v>0.24565756823821339</v>
      </c>
      <c r="F6" s="7">
        <f xml:space="preserve"> $C6 * Prices!$E5 + $D6 * Prices!$F5 + $E6 * Prices!$G5</f>
        <v>0.97890818858560769</v>
      </c>
      <c r="G6" s="9">
        <f>(C5 * Prices!E4) / $F5</f>
        <v>0.50620347394540932</v>
      </c>
      <c r="H6" s="9">
        <f>(D5 * Prices!F4) / $F5</f>
        <v>0.24813895781637715</v>
      </c>
      <c r="I6" s="9">
        <f>(E5 * Prices!G4) / $F5</f>
        <v>0.24565756823821339</v>
      </c>
    </row>
    <row r="7" spans="1:12" x14ac:dyDescent="0.4">
      <c r="A7" s="2">
        <v>45662</v>
      </c>
      <c r="B7" s="11">
        <f t="shared" si="0"/>
        <v>45662</v>
      </c>
      <c r="C7" s="9">
        <f>(C6 * Prices!E5) / $F6</f>
        <v>0.52217997465145749</v>
      </c>
      <c r="D7" s="9">
        <f>(D6 * Prices!F5) / $F6</f>
        <v>0.22813688212927763</v>
      </c>
      <c r="E7" s="9">
        <f>(E6 * Prices!G5) / $F6</f>
        <v>0.24968314321926494</v>
      </c>
      <c r="F7" s="7">
        <f xml:space="preserve"> $C7 * Prices!$E6 + $D7 * Prices!$F6 + $E7 * Prices!$G6</f>
        <v>1.0291508238276299</v>
      </c>
      <c r="G7" s="9">
        <f>(C6 * Prices!E5) / $F6</f>
        <v>0.52217997465145749</v>
      </c>
      <c r="H7" s="9">
        <f>(D6 * Prices!F5) / $F6</f>
        <v>0.22813688212927763</v>
      </c>
      <c r="I7" s="9">
        <f>(E6 * Prices!G5) / $F6</f>
        <v>0.24968314321926494</v>
      </c>
    </row>
    <row r="8" spans="1:12" x14ac:dyDescent="0.4">
      <c r="A8" s="2">
        <v>45663</v>
      </c>
      <c r="B8" s="12">
        <f t="shared" si="0"/>
        <v>45663</v>
      </c>
      <c r="C8" s="9">
        <f>(C7 * Prices!E6) / $F7</f>
        <v>0.51231527093596052</v>
      </c>
      <c r="D8" s="9">
        <f>(D7 * Prices!F6) / $F7</f>
        <v>0.24630541871921191</v>
      </c>
      <c r="E8" s="9">
        <f>(E7 * Prices!G6) / $F7</f>
        <v>0.24137931034482762</v>
      </c>
      <c r="F8" s="7">
        <f xml:space="preserve"> $C8 * Prices!$E7 + $D8 * Prices!$F7 + $E8 * Prices!$G7</f>
        <v>0.97906403940886699</v>
      </c>
      <c r="G8" s="9">
        <f>(C7 * Prices!E6) / $F7</f>
        <v>0.51231527093596052</v>
      </c>
      <c r="H8" s="9">
        <f>(D7 * Prices!F6) / $F7</f>
        <v>0.24630541871921191</v>
      </c>
      <c r="I8" s="9">
        <f>(E7 * Prices!G6) / $F7</f>
        <v>0.24137931034482762</v>
      </c>
    </row>
    <row r="9" spans="1:12" x14ac:dyDescent="0.4">
      <c r="A9" s="2">
        <v>45664</v>
      </c>
      <c r="B9" s="11">
        <f t="shared" si="0"/>
        <v>45664</v>
      </c>
      <c r="C9" s="9">
        <f>(C8 * Prices!E7) / $F8</f>
        <v>0.52830188679245271</v>
      </c>
      <c r="D9" s="9">
        <f>(D8 * Prices!F7) / $F8</f>
        <v>0.22641509433962273</v>
      </c>
      <c r="E9" s="9">
        <f>(E8 * Prices!G7) / $F8</f>
        <v>0.24528301886792456</v>
      </c>
      <c r="F9" s="7">
        <f xml:space="preserve"> $C9 * Prices!$E8 + $D9 * Prices!$F8 + $E9 * Prices!$G8</f>
        <v>1.0289308176100629</v>
      </c>
      <c r="G9" s="9">
        <f>(C8 * Prices!E7) / $F8</f>
        <v>0.52830188679245271</v>
      </c>
      <c r="H9" s="9">
        <f>(D8 * Prices!F7) / $F8</f>
        <v>0.22641509433962273</v>
      </c>
      <c r="I9" s="9">
        <f>(E8 * Prices!G7) / $F8</f>
        <v>0.24528301886792456</v>
      </c>
    </row>
    <row r="10" spans="1:12" x14ac:dyDescent="0.4">
      <c r="A10" s="2">
        <v>45665</v>
      </c>
      <c r="B10" s="11">
        <f t="shared" si="0"/>
        <v>45665</v>
      </c>
      <c r="C10" s="9">
        <f>(C9 * Prices!E8) / $F9</f>
        <v>0.51833740831295827</v>
      </c>
      <c r="D10" s="9">
        <f>(D9 * Prices!F8) / $F9</f>
        <v>0.24449877750611257</v>
      </c>
      <c r="E10" s="9">
        <f>(E9 * Prices!G8) / $F9</f>
        <v>0.23716381418092913</v>
      </c>
      <c r="F10" s="7">
        <f xml:space="preserve"> $C10 * Prices!$E9 + $D10 * Prices!$F9 + $E10 * Prices!$G9</f>
        <v>0.97921760391198043</v>
      </c>
      <c r="G10" s="9">
        <f>(C9 * Prices!E8) / $F9</f>
        <v>0.51833740831295827</v>
      </c>
      <c r="H10" s="9">
        <f>(D9 * Prices!F8) / $F9</f>
        <v>0.24449877750611257</v>
      </c>
      <c r="I10" s="9">
        <f>(E9 * Prices!G8) / $F9</f>
        <v>0.23716381418092913</v>
      </c>
    </row>
    <row r="11" spans="1:12" x14ac:dyDescent="0.4">
      <c r="A11" s="2">
        <v>45666</v>
      </c>
      <c r="B11" s="11">
        <f t="shared" si="0"/>
        <v>45666</v>
      </c>
      <c r="C11" s="9">
        <f>(C10 * Prices!E9) / $F10</f>
        <v>0.53433208489388251</v>
      </c>
      <c r="D11" s="9">
        <f>(D10 * Prices!F9) / $F10</f>
        <v>0.22471910112359561</v>
      </c>
      <c r="E11" s="9">
        <f>(E10 * Prices!G9) / $F10</f>
        <v>0.24094881398252188</v>
      </c>
      <c r="F11" s="7">
        <f xml:space="preserve"> $C11 * Prices!$E10 + $D11 * Prices!$F10 + $E11 * Prices!$G10</f>
        <v>1.0287141073657926</v>
      </c>
      <c r="G11" s="9">
        <f>(C10 * Prices!E9) / $F10</f>
        <v>0.53433208489388251</v>
      </c>
      <c r="H11" s="9">
        <f>(D10 * Prices!F9) / $F10</f>
        <v>0.22471910112359561</v>
      </c>
      <c r="I11" s="9">
        <f>(E10 * Prices!G9) / $F10</f>
        <v>0.24094881398252188</v>
      </c>
    </row>
    <row r="12" spans="1:12" x14ac:dyDescent="0.4">
      <c r="A12" s="2">
        <v>45667</v>
      </c>
      <c r="B12" s="11">
        <f t="shared" si="0"/>
        <v>45667</v>
      </c>
      <c r="C12" s="9">
        <f>(C11 * Prices!E10) / $F11</f>
        <v>0.52427184466019405</v>
      </c>
      <c r="D12" s="9">
        <f>(D11 * Prices!F10) / $F11</f>
        <v>0.24271844660194192</v>
      </c>
      <c r="E12" s="9">
        <f>(E11 * Prices!G10) / $F11</f>
        <v>0.23300970873786414</v>
      </c>
      <c r="F12" s="7">
        <f xml:space="preserve"> $C12 * Prices!$E11 + $D12 * Prices!$F11 + $E12 * Prices!$G11</f>
        <v>0.97936893203883502</v>
      </c>
      <c r="G12" s="9">
        <f>(C11 * Prices!E10) / $F11</f>
        <v>0.52427184466019405</v>
      </c>
      <c r="H12" s="9">
        <f>(D11 * Prices!F10) / $F11</f>
        <v>0.24271844660194192</v>
      </c>
      <c r="I12" s="9">
        <f>(E11 * Prices!G10) / $F11</f>
        <v>0.23300970873786414</v>
      </c>
    </row>
    <row r="13" spans="1:12" x14ac:dyDescent="0.4">
      <c r="A13" s="2">
        <v>45668</v>
      </c>
      <c r="B13" s="11">
        <f t="shared" si="0"/>
        <v>45668</v>
      </c>
      <c r="C13" s="9">
        <f>(C12 * Prices!E11) / $F12</f>
        <v>0.54027261462205689</v>
      </c>
      <c r="D13" s="9">
        <f>(D12 * Prices!F11) / $F12</f>
        <v>0.2230483271375466</v>
      </c>
      <c r="E13" s="9">
        <f>(E12 * Prices!G11) / $F12</f>
        <v>0.23667905824039659</v>
      </c>
      <c r="F13" s="7">
        <f xml:space="preserve"> $C13 * Prices!$E12 + $D13 * Prices!$F12 + $E13 * Prices!$G12</f>
        <v>1.0285006195786865</v>
      </c>
      <c r="G13" s="9">
        <f>(C12 * Prices!E11) / $F12</f>
        <v>0.54027261462205689</v>
      </c>
      <c r="H13" s="9">
        <f>(D12 * Prices!F11) / $F12</f>
        <v>0.2230483271375466</v>
      </c>
      <c r="I13" s="9">
        <f>(E12 * Prices!G11) / $F12</f>
        <v>0.23667905824039659</v>
      </c>
    </row>
    <row r="14" spans="1:12" x14ac:dyDescent="0.4">
      <c r="A14" s="2">
        <v>45669</v>
      </c>
      <c r="B14" s="11">
        <f t="shared" si="0"/>
        <v>45669</v>
      </c>
      <c r="C14" s="9">
        <f>(C13 * Prices!E12) / $F13</f>
        <v>0.53012048192771066</v>
      </c>
      <c r="D14" s="9">
        <f>(D13 * Prices!F12) / $F13</f>
        <v>0.24096385542168688</v>
      </c>
      <c r="E14" s="9">
        <f>(E13 * Prices!G12) / $F13</f>
        <v>0.22891566265060248</v>
      </c>
      <c r="F14" s="7">
        <f xml:space="preserve"> $C14 * Prices!$E13 + $D14 * Prices!$F13 + $E14 * Prices!$G13</f>
        <v>0.97951807228915655</v>
      </c>
      <c r="G14" s="9">
        <f>(C13 * Prices!E12) / $F13</f>
        <v>0.53012048192771066</v>
      </c>
      <c r="H14" s="9">
        <f>(D13 * Prices!F12) / $F13</f>
        <v>0.24096385542168688</v>
      </c>
      <c r="I14" s="9">
        <f>(E13 * Prices!G12) / $F13</f>
        <v>0.22891566265060248</v>
      </c>
    </row>
    <row r="15" spans="1:12" x14ac:dyDescent="0.4">
      <c r="A15" s="2">
        <v>45670</v>
      </c>
      <c r="B15" s="12">
        <f t="shared" si="0"/>
        <v>45670</v>
      </c>
      <c r="C15" s="15">
        <f>1-D15-E15</f>
        <v>0.53002767527675265</v>
      </c>
      <c r="D15" s="14">
        <v>0.23749999999999999</v>
      </c>
      <c r="E15" s="8">
        <f>(E14 * Prices!G13) / $F14</f>
        <v>0.2324723247232473</v>
      </c>
      <c r="F15" s="7">
        <f xml:space="preserve"> $C15 * Prices!$E14 + $D15 * Prices!$F14 + $E15 * Prices!$G14</f>
        <v>1.0299339006903581</v>
      </c>
      <c r="G15" s="14">
        <f>(C14 * Prices!E13) / $F14</f>
        <v>0.54612546125461237</v>
      </c>
      <c r="H15" s="8">
        <f>(D14 * Prices!F13) / $F14</f>
        <v>0.22140221402214036</v>
      </c>
      <c r="I15" s="9">
        <f>(E14 * Prices!G13) / $F14</f>
        <v>0.2324723247232473</v>
      </c>
    </row>
    <row r="16" spans="1:12" x14ac:dyDescent="0.4">
      <c r="A16" s="2">
        <v>45671</v>
      </c>
      <c r="B16" s="11">
        <f t="shared" si="0"/>
        <v>45671</v>
      </c>
      <c r="C16" s="9">
        <f>(C15 * Prices!E14) / $F15</f>
        <v>0.51925924471451057</v>
      </c>
      <c r="D16" s="9">
        <f>(D15 * Prices!F14) / $F15</f>
        <v>0.25621924738277463</v>
      </c>
      <c r="E16" s="9">
        <f>(E15 * Prices!G14) / $F15</f>
        <v>0.22452150790271497</v>
      </c>
      <c r="F16" s="7">
        <f xml:space="preserve"> $C16 * Prices!$E15 + $D16 * Prices!$F15 + $E16 * Prices!$G15</f>
        <v>0.97782005517819415</v>
      </c>
      <c r="G16" s="9">
        <f>(C15 * Prices!E14) / $F15</f>
        <v>0.51925924471451057</v>
      </c>
      <c r="H16" s="9">
        <f>(D15 * Prices!F14) / $F15</f>
        <v>0.25621924738277463</v>
      </c>
      <c r="I16" s="9">
        <f>(E15 * Prices!G14) / $F15</f>
        <v>0.22452150790271497</v>
      </c>
    </row>
    <row r="17" spans="1:9" x14ac:dyDescent="0.4">
      <c r="A17" s="2">
        <v>45672</v>
      </c>
      <c r="B17" s="11">
        <f t="shared" si="0"/>
        <v>45672</v>
      </c>
      <c r="C17" s="9">
        <f>(C16 * Prices!E15) / $F16</f>
        <v>0.53577903745839761</v>
      </c>
      <c r="D17" s="9">
        <f>(D16 * Prices!F15) / $F16</f>
        <v>0.23582797409741613</v>
      </c>
      <c r="E17" s="9">
        <f>(E16 * Prices!G15) / $F16</f>
        <v>0.22839298844418629</v>
      </c>
      <c r="F17" s="7">
        <f xml:space="preserve"> $C17 * Prices!$E16 + $D17 * Prices!$F16 + $E17 * Prices!$G16</f>
        <v>1.0297231627648018</v>
      </c>
      <c r="G17" s="9">
        <f>(C16 * Prices!E15) / $F16</f>
        <v>0.53577903745839761</v>
      </c>
      <c r="H17" s="9">
        <f>(D16 * Prices!F15) / $F16</f>
        <v>0.23582797409741613</v>
      </c>
      <c r="I17" s="9">
        <f>(E16 * Prices!G15) / $F16</f>
        <v>0.22839298844418629</v>
      </c>
    </row>
    <row r="18" spans="1:9" x14ac:dyDescent="0.4">
      <c r="A18" s="2">
        <v>45673</v>
      </c>
      <c r="B18" s="11">
        <f t="shared" si="0"/>
        <v>45673</v>
      </c>
      <c r="C18" s="9">
        <f>(C17 * Prices!E16) / $F17</f>
        <v>0.5249182153174442</v>
      </c>
      <c r="D18" s="9">
        <f>(D17 * Prices!F16) / $F17</f>
        <v>0.25446750331119106</v>
      </c>
      <c r="E18" s="9">
        <f>(E17 * Prices!G16) / $F17</f>
        <v>0.22061428137136474</v>
      </c>
      <c r="F18" s="7">
        <f xml:space="preserve"> $C18 * Prices!$E17 + $D18 * Prices!$F17 + $E18 * Prices!$G17</f>
        <v>0.97797169713033671</v>
      </c>
      <c r="G18" s="9">
        <f>(C17 * Prices!E16) / $F17</f>
        <v>0.5249182153174442</v>
      </c>
      <c r="H18" s="9">
        <f>(D17 * Prices!F16) / $F17</f>
        <v>0.25446750331119106</v>
      </c>
      <c r="I18" s="9">
        <f>(E17 * Prices!G16) / $F17</f>
        <v>0.22061428137136474</v>
      </c>
    </row>
    <row r="19" spans="1:9" x14ac:dyDescent="0.4">
      <c r="A19" s="2">
        <v>45674</v>
      </c>
      <c r="B19" s="11">
        <f t="shared" si="0"/>
        <v>45674</v>
      </c>
      <c r="C19" s="9">
        <f>(C18 * Prices!E17) / $F18</f>
        <v>0.54144998533149991</v>
      </c>
      <c r="D19" s="9">
        <f>(D18 * Prices!F17) / $F18</f>
        <v>0.23417932610124381</v>
      </c>
      <c r="E19" s="9">
        <f>(E18 * Prices!G17) / $F18</f>
        <v>0.22437068856725634</v>
      </c>
      <c r="F19" s="7">
        <f xml:space="preserve"> $C19 * Prices!$E18 + $D19 * Prices!$F18 + $E19 * Prices!$G18</f>
        <v>1.0295153713315777</v>
      </c>
      <c r="G19" s="9">
        <f>(C18 * Prices!E17) / $F18</f>
        <v>0.54144998533149991</v>
      </c>
      <c r="H19" s="9">
        <f>(D18 * Prices!F17) / $F18</f>
        <v>0.23417932610124381</v>
      </c>
      <c r="I19" s="9">
        <f>(E18 * Prices!G17) / $F18</f>
        <v>0.22437068856725634</v>
      </c>
    </row>
    <row r="20" spans="1:9" x14ac:dyDescent="0.4">
      <c r="A20" s="2">
        <v>45675</v>
      </c>
      <c r="B20" s="11">
        <f t="shared" si="0"/>
        <v>45675</v>
      </c>
      <c r="C20" s="9">
        <f>(C19 * Prices!E18) / $F19</f>
        <v>0.53050033178922873</v>
      </c>
      <c r="D20" s="9">
        <f>(D19 * Prices!F18) / $F19</f>
        <v>0.2527395495679311</v>
      </c>
      <c r="E20" s="9">
        <f>(E19 * Prices!G18) / $F19</f>
        <v>0.21676011864284009</v>
      </c>
      <c r="F20" s="7">
        <f xml:space="preserve"> $C20 * Prices!$E19 + $D20 * Prices!$F19 + $E20 * Prices!$G19</f>
        <v>0.97812127964246887</v>
      </c>
      <c r="G20" s="9">
        <f>(C19 * Prices!E18) / $F19</f>
        <v>0.53050033178922873</v>
      </c>
      <c r="H20" s="9">
        <f>(D19 * Prices!F18) / $F19</f>
        <v>0.2527395495679311</v>
      </c>
      <c r="I20" s="9">
        <f>(E19 * Prices!G18) / $F19</f>
        <v>0.21676011864284009</v>
      </c>
    </row>
    <row r="21" spans="1:9" x14ac:dyDescent="0.4">
      <c r="A21" s="2">
        <v>45676</v>
      </c>
      <c r="B21" s="11">
        <f t="shared" si="0"/>
        <v>45676</v>
      </c>
      <c r="C21" s="9">
        <f>(C20 * Prices!E19) / $F20</f>
        <v>0.54704219369108731</v>
      </c>
      <c r="D21" s="9">
        <f>(D20 * Prices!F19) / $F20</f>
        <v>0.23255356911801686</v>
      </c>
      <c r="E21" s="9">
        <f>(E20 * Prices!G19) / $F20</f>
        <v>0.22040423719089575</v>
      </c>
      <c r="F21" s="7">
        <f xml:space="preserve"> $C21 * Prices!$E20 + $D21 * Prices!$F20 + $E21 * Prices!$G20</f>
        <v>1.0293104650238614</v>
      </c>
      <c r="G21" s="9">
        <f>(C20 * Prices!E19) / $F20</f>
        <v>0.54704219369108731</v>
      </c>
      <c r="H21" s="9">
        <f>(D20 * Prices!F19) / $F20</f>
        <v>0.23255356911801686</v>
      </c>
      <c r="I21" s="9">
        <f>(E20 * Prices!G19) / $F20</f>
        <v>0.22040423719089575</v>
      </c>
    </row>
    <row r="22" spans="1:9" x14ac:dyDescent="0.4">
      <c r="A22" s="2">
        <v>45677</v>
      </c>
      <c r="B22" s="12">
        <f t="shared" si="0"/>
        <v>45677</v>
      </c>
      <c r="C22" s="15">
        <f>1-D22-E22</f>
        <v>0.51146509522072692</v>
      </c>
      <c r="D22" s="9">
        <f>(D21 * Prices!F20) / $F21</f>
        <v>0.25103490477927304</v>
      </c>
      <c r="E22" s="8">
        <v>0.23749999999999999</v>
      </c>
      <c r="F22" s="7">
        <f xml:space="preserve"> $C22 * Prices!$E21 + $D22 * Prices!$F21 + $E22 * Prices!$G21</f>
        <v>0.9779260144266253</v>
      </c>
      <c r="G22" s="9">
        <f>(C21 * Prices!E20) / $F21</f>
        <v>0.53600714919705927</v>
      </c>
      <c r="H22" s="9">
        <f>(D21 * Prices!F20) / $F21</f>
        <v>0.25103490477927304</v>
      </c>
      <c r="I22" s="8">
        <f>(E21 * Prices!G20) / $F21</f>
        <v>0.21295794602366763</v>
      </c>
    </row>
    <row r="23" spans="1:9" x14ac:dyDescent="0.4">
      <c r="A23" s="2">
        <v>45678</v>
      </c>
      <c r="B23" s="11">
        <f t="shared" si="0"/>
        <v>45678</v>
      </c>
      <c r="C23" s="9">
        <f>(C22 * Prices!E21) / $F22</f>
        <v>0.52744229887641014</v>
      </c>
      <c r="D23" s="9">
        <f>(D22 * Prices!F21) / $F22</f>
        <v>0.23103119353442417</v>
      </c>
      <c r="E23" s="9">
        <f>(E22 * Prices!G21) / $F22</f>
        <v>0.24152650758916575</v>
      </c>
      <c r="F23" s="7">
        <f xml:space="preserve"> $C23 * Prices!$E22 + $D23 * Prices!$F22 + $E23 * Prices!$G22</f>
        <v>1.0287680202463729</v>
      </c>
      <c r="G23" s="9">
        <f>(C22 * Prices!E21) / $F22</f>
        <v>0.52744229887641014</v>
      </c>
      <c r="H23" s="9">
        <f>(D22 * Prices!F21) / $F22</f>
        <v>0.23103119353442417</v>
      </c>
      <c r="I23" s="9">
        <f>(E22 * Prices!G21) / $F22</f>
        <v>0.24152650758916575</v>
      </c>
    </row>
    <row r="24" spans="1:9" x14ac:dyDescent="0.4">
      <c r="A24" s="2">
        <v>45679</v>
      </c>
      <c r="B24" s="11">
        <f t="shared" si="0"/>
        <v>45679</v>
      </c>
      <c r="C24" s="9">
        <f>(C23 * Prices!E22) / $F23</f>
        <v>0.51700147811251673</v>
      </c>
      <c r="D24" s="9">
        <f>(D23 * Prices!F22) / $F23</f>
        <v>0.24952304221887114</v>
      </c>
      <c r="E24" s="9">
        <f>(E23 * Prices!G22) / $F23</f>
        <v>0.23347547966861221</v>
      </c>
      <c r="F24" s="7">
        <f xml:space="preserve"> $C24 * Prices!$E23 + $D24 * Prices!$F23 + $E24 * Prices!$G23</f>
        <v>0.97805895543089161</v>
      </c>
      <c r="G24" s="9">
        <f>(C23 * Prices!E22) / $F23</f>
        <v>0.51700147811251673</v>
      </c>
      <c r="H24" s="9">
        <f>(D23 * Prices!F22) / $F23</f>
        <v>0.24952304221887114</v>
      </c>
      <c r="I24" s="9">
        <f>(E23 * Prices!G22) / $F23</f>
        <v>0.23347547966861221</v>
      </c>
    </row>
    <row r="25" spans="1:9" x14ac:dyDescent="0.4">
      <c r="A25" s="2">
        <v>45680</v>
      </c>
      <c r="B25" s="11">
        <f t="shared" si="0"/>
        <v>45680</v>
      </c>
      <c r="C25" s="9">
        <f>(C24 * Prices!E23) / $F24</f>
        <v>0.53300449923674309</v>
      </c>
      <c r="D25" s="9">
        <f>(D24 * Prices!F23) / $F24</f>
        <v>0.22960859031043546</v>
      </c>
      <c r="E25" s="9">
        <f>(E24 * Prices!G23) / $F24</f>
        <v>0.23738691045282156</v>
      </c>
      <c r="F25" s="7">
        <f xml:space="preserve"> $C25 * Prices!$E24 + $D25 * Prices!$F24 + $E25 * Prices!$G24</f>
        <v>1.028590877594231</v>
      </c>
      <c r="G25" s="9">
        <f>(C24 * Prices!E23) / $F24</f>
        <v>0.53300449923674309</v>
      </c>
      <c r="H25" s="9">
        <f>(D24 * Prices!F23) / $F24</f>
        <v>0.22960859031043546</v>
      </c>
      <c r="I25" s="9">
        <f>(E24 * Prices!G23) / $F24</f>
        <v>0.23738691045282156</v>
      </c>
    </row>
    <row r="26" spans="1:9" x14ac:dyDescent="0.4">
      <c r="A26" s="2">
        <v>45681</v>
      </c>
      <c r="B26" s="11">
        <f t="shared" si="0"/>
        <v>45681</v>
      </c>
      <c r="C26" s="9">
        <f>(C25 * Prices!E24) / $F25</f>
        <v>0.52247157427173541</v>
      </c>
      <c r="D26" s="9">
        <f>(D25 * Prices!F24) / $F25</f>
        <v>0.24802928108519201</v>
      </c>
      <c r="E26" s="9">
        <f>(E25 * Prices!G24) / $F25</f>
        <v>0.22949914464307244</v>
      </c>
      <c r="F26" s="7">
        <f xml:space="preserve"> $C26 * Prices!$E25 + $D26 * Prices!$F25 + $E26 * Prices!$G25</f>
        <v>0.97819030474163327</v>
      </c>
      <c r="G26" s="9">
        <f>(C25 * Prices!E24) / $F25</f>
        <v>0.52247157427173541</v>
      </c>
      <c r="H26" s="9">
        <f>(D25 * Prices!F24) / $F25</f>
        <v>0.24802928108519201</v>
      </c>
      <c r="I26" s="9">
        <f>(E25 * Prices!G24) / $F25</f>
        <v>0.22949914464307244</v>
      </c>
    </row>
    <row r="27" spans="1:9" x14ac:dyDescent="0.4">
      <c r="A27" s="2">
        <v>45682</v>
      </c>
      <c r="B27" s="11">
        <f t="shared" si="0"/>
        <v>45682</v>
      </c>
      <c r="C27" s="9">
        <f>(C26 * Prices!E25) / $F26</f>
        <v>0.53849861893523754</v>
      </c>
      <c r="D27" s="9">
        <f>(D26 * Prices!F25) / $F26</f>
        <v>0.22820339957840105</v>
      </c>
      <c r="E27" s="9">
        <f>(E26 * Prices!G25) / $F26</f>
        <v>0.23329798148636144</v>
      </c>
      <c r="F27" s="7">
        <f xml:space="preserve"> $C27 * Prices!$E26 + $D27 * Prices!$F26 + $E27 * Prices!$G26</f>
        <v>1.0284159031467945</v>
      </c>
      <c r="G27" s="9">
        <f>(C26 * Prices!E25) / $F26</f>
        <v>0.53849861893523754</v>
      </c>
      <c r="H27" s="9">
        <f>(D26 * Prices!F25) / $F26</f>
        <v>0.22820339957840105</v>
      </c>
      <c r="I27" s="9">
        <f>(E26 * Prices!G25) / $F26</f>
        <v>0.23329798148636144</v>
      </c>
    </row>
    <row r="28" spans="1:9" x14ac:dyDescent="0.4">
      <c r="A28" s="2">
        <v>45683</v>
      </c>
      <c r="B28" s="11">
        <f t="shared" si="0"/>
        <v>45683</v>
      </c>
      <c r="C28" s="9">
        <f>(C27 * Prices!E26) / $F27</f>
        <v>0.52787656708383968</v>
      </c>
      <c r="D28" s="9">
        <f>(D27 * Prices!F26) / $F27</f>
        <v>0.24655329822208846</v>
      </c>
      <c r="E28" s="9">
        <f>(E27 * Prices!G26) / $F27</f>
        <v>0.22557013469407194</v>
      </c>
      <c r="F28" s="7">
        <f xml:space="preserve"> $C28 * Prices!$E27 + $D28 * Prices!$F27 + $E28 * Prices!$G27</f>
        <v>0.97832009077459714</v>
      </c>
      <c r="G28" s="9">
        <f>(C27 * Prices!E26) / $F27</f>
        <v>0.52787656708383968</v>
      </c>
      <c r="H28" s="9">
        <f>(D27 * Prices!F26) / $F27</f>
        <v>0.24655329822208846</v>
      </c>
      <c r="I28" s="9">
        <f>(E27 * Prices!G26) / $F27</f>
        <v>0.22557013469407194</v>
      </c>
    </row>
    <row r="29" spans="1:9" x14ac:dyDescent="0.4">
      <c r="A29" s="2">
        <v>45684</v>
      </c>
      <c r="B29" s="12">
        <f t="shared" si="0"/>
        <v>45684</v>
      </c>
      <c r="C29" s="9">
        <f>(C28 * Prices!E27) / $F28</f>
        <v>0.54392590031745347</v>
      </c>
      <c r="D29" s="9">
        <f>(D28 * Prices!F27) / $F28</f>
        <v>0.22681530359270161</v>
      </c>
      <c r="E29" s="9">
        <f>(E28 * Prices!G27) / $F28</f>
        <v>0.22925879608984495</v>
      </c>
      <c r="F29" s="7">
        <f xml:space="preserve"> $C29 * Prices!$E28 + $D29 * Prices!$F28 + $E29 * Prices!$G28</f>
        <v>1.0282430573383583</v>
      </c>
      <c r="G29" s="9">
        <f>(C28 * Prices!E27) / $F28</f>
        <v>0.54392590031745347</v>
      </c>
      <c r="H29" s="9">
        <f>(D28 * Prices!F27) / $F28</f>
        <v>0.22681530359270161</v>
      </c>
      <c r="I29" s="9">
        <f>(E28 * Prices!G27) / $F28</f>
        <v>0.22925879608984495</v>
      </c>
    </row>
    <row r="30" spans="1:9" x14ac:dyDescent="0.4">
      <c r="A30" s="2">
        <v>45685</v>
      </c>
      <c r="B30" s="11">
        <f t="shared" si="0"/>
        <v>45685</v>
      </c>
      <c r="C30" s="9">
        <f>(C29 * Prices!E28) / $F29</f>
        <v>0.53321761193236483</v>
      </c>
      <c r="D30" s="9">
        <f>(D29 * Prices!F28) / $F29</f>
        <v>0.24509477812011216</v>
      </c>
      <c r="E30" s="9">
        <f>(E29 * Prices!G28) / $F29</f>
        <v>0.22168760994752293</v>
      </c>
      <c r="F30" s="7">
        <f xml:space="preserve"> $C30 * Prices!$E29 + $D30 * Prices!$F29 + $E30 * Prices!$G29</f>
        <v>0.9784483412731394</v>
      </c>
      <c r="G30" s="9">
        <f>(C29 * Prices!E28) / $F29</f>
        <v>0.53321761193236483</v>
      </c>
      <c r="H30" s="9">
        <f>(D29 * Prices!F28) / $F29</f>
        <v>0.24509477812011216</v>
      </c>
      <c r="I30" s="9">
        <f>(E29 * Prices!G28) / $F29</f>
        <v>0.22168760994752293</v>
      </c>
    </row>
    <row r="31" spans="1:9" x14ac:dyDescent="0.4">
      <c r="A31" s="2">
        <v>45686</v>
      </c>
      <c r="B31" s="11">
        <f t="shared" si="0"/>
        <v>45686</v>
      </c>
      <c r="C31" s="9">
        <f>(C30 * Prices!E29) / $F30</f>
        <v>0.54928755568437293</v>
      </c>
      <c r="D31" s="9">
        <f>(D30 * Prices!F29) / $F30</f>
        <v>0.2254439922919991</v>
      </c>
      <c r="E31" s="9">
        <f>(E30 * Prices!G29) / $F30</f>
        <v>0.225268452023628</v>
      </c>
      <c r="F31" s="7">
        <f xml:space="preserve"> $C31 * Prices!$E30 + $D31 * Prices!$F30 + $E31 * Prices!$G30</f>
        <v>1.0280723015600619</v>
      </c>
      <c r="G31" s="9">
        <f>(C30 * Prices!E29) / $F30</f>
        <v>0.54928755568437293</v>
      </c>
      <c r="H31" s="9">
        <f>(D30 * Prices!F29) / $F30</f>
        <v>0.2254439922919991</v>
      </c>
      <c r="I31" s="9">
        <f>(E30 * Prices!G29) / $F30</f>
        <v>0.225268452023628</v>
      </c>
    </row>
    <row r="32" spans="1:9" x14ac:dyDescent="0.4">
      <c r="A32" s="2">
        <v>45687</v>
      </c>
      <c r="B32" s="11">
        <f t="shared" si="0"/>
        <v>45687</v>
      </c>
      <c r="C32" s="9">
        <f>(C31 * Prices!E30) / $F31</f>
        <v>0.53849583702230142</v>
      </c>
      <c r="D32" s="9">
        <f>(D31 * Prices!F30) / $F31</f>
        <v>0.24365341269166915</v>
      </c>
      <c r="E32" s="9">
        <f>(E31 * Prices!G30) / $F31</f>
        <v>0.21785075028602943</v>
      </c>
      <c r="F32" s="7">
        <f xml:space="preserve"> $C32 * Prices!$E31 + $D32 * Prices!$F31 + $E32 * Prices!$G31</f>
        <v>0.97857508332799981</v>
      </c>
      <c r="G32" s="9">
        <f>(C31 * Prices!E30) / $F31</f>
        <v>0.53849583702230142</v>
      </c>
      <c r="H32" s="9">
        <f>(D31 * Prices!F30) / $F31</f>
        <v>0.24365341269166915</v>
      </c>
      <c r="I32" s="9">
        <f>(E31 * Prices!G30) / $F31</f>
        <v>0.21785075028602943</v>
      </c>
    </row>
    <row r="33" spans="1:9" x14ac:dyDescent="0.4">
      <c r="A33" s="2">
        <v>45688</v>
      </c>
      <c r="B33" s="11">
        <f t="shared" si="0"/>
        <v>45688</v>
      </c>
      <c r="C33" s="9">
        <f>(C32 * Prices!E31) / $F32</f>
        <v>0.55458476819518043</v>
      </c>
      <c r="D33" s="9">
        <f>(D32 * Prices!F31) / $F32</f>
        <v>0.22408916306833968</v>
      </c>
      <c r="E33" s="9">
        <f>(E32 * Prices!G31) / $F32</f>
        <v>0.22132606873647998</v>
      </c>
      <c r="F33" s="7">
        <f xml:space="preserve"> $C33 * Prices!$E32 + $D33 * Prices!$F32 + $E33 * Prices!$G32</f>
        <v>1.0279035981311424</v>
      </c>
      <c r="G33" s="9">
        <f>(C32 * Prices!E31) / $F32</f>
        <v>0.55458476819518043</v>
      </c>
      <c r="H33" s="9">
        <f>(D32 * Prices!F31) / $F32</f>
        <v>0.22408916306833968</v>
      </c>
      <c r="I33" s="9">
        <f>(E32 * Prices!G31) / $F32</f>
        <v>0.22132606873647998</v>
      </c>
    </row>
    <row r="34" spans="1:9" x14ac:dyDescent="0.4">
      <c r="A34" s="2">
        <v>45689</v>
      </c>
      <c r="B34" s="11">
        <f t="shared" si="0"/>
        <v>45689</v>
      </c>
      <c r="C34" s="9">
        <f>(C33 * Prices!E32) / $F33</f>
        <v>0.54371234417458658</v>
      </c>
      <c r="D34" s="9">
        <f>(D33 * Prices!F32) / $F33</f>
        <v>0.24222890105406109</v>
      </c>
      <c r="E34" s="9">
        <f>(E33 * Prices!G32) / $F33</f>
        <v>0.21405875477135242</v>
      </c>
      <c r="F34" s="7">
        <f xml:space="preserve"> $C34 * Prices!$E33 + $D34 * Prices!$F33 + $E34 * Prices!$G33</f>
        <v>0.97870034339637701</v>
      </c>
      <c r="G34" s="9">
        <f>(C33 * Prices!E32) / $F33</f>
        <v>0.54371234417458658</v>
      </c>
      <c r="H34" s="9">
        <f>(D33 * Prices!F32) / $F33</f>
        <v>0.24222890105406109</v>
      </c>
      <c r="I34" s="9">
        <f>(E33 * Prices!G32) / $F33</f>
        <v>0.21405875477135242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E8070-11EC-4D5B-882F-63D06BDC939E}">
  <dimension ref="A1:B33"/>
  <sheetViews>
    <sheetView zoomScale="205" zoomScaleNormal="205" workbookViewId="0">
      <selection activeCell="C1" sqref="C1:C1048576"/>
    </sheetView>
  </sheetViews>
  <sheetFormatPr defaultRowHeight="14.6" x14ac:dyDescent="0.4"/>
  <cols>
    <col min="1" max="1" width="10.07421875" bestFit="1" customWidth="1"/>
    <col min="2" max="2" width="9.23046875" style="7"/>
  </cols>
  <sheetData>
    <row r="1" spans="1:2" x14ac:dyDescent="0.4">
      <c r="A1" s="1" t="s">
        <v>13</v>
      </c>
      <c r="B1" s="6" t="s">
        <v>14</v>
      </c>
    </row>
    <row r="2" spans="1:2" x14ac:dyDescent="0.4">
      <c r="A2" s="2">
        <v>45658</v>
      </c>
      <c r="B2" s="7">
        <v>1</v>
      </c>
    </row>
    <row r="3" spans="1:2" x14ac:dyDescent="0.4">
      <c r="A3" s="2">
        <v>45659</v>
      </c>
      <c r="B3" s="7">
        <f>B2 * Expected_Weights!F4</f>
        <v>0.97875000000000001</v>
      </c>
    </row>
    <row r="4" spans="1:2" x14ac:dyDescent="0.4">
      <c r="A4" s="2">
        <v>45660</v>
      </c>
      <c r="B4" s="7">
        <f>B3 * Expected_Weights!F5</f>
        <v>1.0075000000000001</v>
      </c>
    </row>
    <row r="5" spans="1:2" x14ac:dyDescent="0.4">
      <c r="A5" s="2">
        <v>45661</v>
      </c>
      <c r="B5" s="7">
        <f>B4 * Expected_Weights!F6</f>
        <v>0.98624999999999985</v>
      </c>
    </row>
    <row r="6" spans="1:2" x14ac:dyDescent="0.4">
      <c r="A6" s="2">
        <v>45662</v>
      </c>
      <c r="B6" s="7">
        <f>B5 * Expected_Weights!F7</f>
        <v>1.0149999999999999</v>
      </c>
    </row>
    <row r="7" spans="1:2" x14ac:dyDescent="0.4">
      <c r="A7" s="2">
        <v>45663</v>
      </c>
      <c r="B7" s="7">
        <f>B6 * Expected_Weights!F8</f>
        <v>0.99374999999999991</v>
      </c>
    </row>
    <row r="8" spans="1:2" x14ac:dyDescent="0.4">
      <c r="A8" s="2">
        <v>45664</v>
      </c>
      <c r="B8" s="7">
        <f>B7 * Expected_Weights!F9</f>
        <v>1.0225</v>
      </c>
    </row>
    <row r="9" spans="1:2" x14ac:dyDescent="0.4">
      <c r="A9" s="2">
        <v>45665</v>
      </c>
      <c r="B9" s="7">
        <f>B8 * Expected_Weights!F10</f>
        <v>1.00125</v>
      </c>
    </row>
    <row r="10" spans="1:2" x14ac:dyDescent="0.4">
      <c r="A10" s="2">
        <v>45666</v>
      </c>
      <c r="B10" s="7">
        <f>B9 * Expected_Weights!F11</f>
        <v>1.0299999999999998</v>
      </c>
    </row>
    <row r="11" spans="1:2" x14ac:dyDescent="0.4">
      <c r="A11" s="2">
        <v>45667</v>
      </c>
      <c r="B11" s="7">
        <f>B10 * Expected_Weights!F12</f>
        <v>1.0087499999999998</v>
      </c>
    </row>
    <row r="12" spans="1:2" x14ac:dyDescent="0.4">
      <c r="A12" s="2">
        <v>45668</v>
      </c>
      <c r="B12" s="7">
        <f>B11 * Expected_Weights!F13</f>
        <v>1.0374999999999999</v>
      </c>
    </row>
    <row r="13" spans="1:2" x14ac:dyDescent="0.4">
      <c r="A13" s="2">
        <v>45669</v>
      </c>
      <c r="B13" s="7">
        <f>B12 * Expected_Weights!F14</f>
        <v>1.0162499999999999</v>
      </c>
    </row>
    <row r="14" spans="1:2" x14ac:dyDescent="0.4">
      <c r="A14" s="2">
        <v>45670</v>
      </c>
      <c r="B14" s="7">
        <f>B13 * Expected_Weights!F15</f>
        <v>1.0466703265765762</v>
      </c>
    </row>
    <row r="15" spans="1:2" x14ac:dyDescent="0.4">
      <c r="A15" s="2">
        <v>45671</v>
      </c>
      <c r="B15" s="7">
        <f>B14 * Expected_Weights!F16</f>
        <v>1.0234552364864862</v>
      </c>
    </row>
    <row r="16" spans="1:2" x14ac:dyDescent="0.4">
      <c r="A16" s="2">
        <v>45672</v>
      </c>
      <c r="B16" s="7">
        <f>B15 * Expected_Weights!F17</f>
        <v>1.0538755630630627</v>
      </c>
    </row>
    <row r="17" spans="1:2" x14ac:dyDescent="0.4">
      <c r="A17" s="2">
        <v>45673</v>
      </c>
      <c r="B17" s="7">
        <f>B16 * Expected_Weights!F18</f>
        <v>1.0306604729729727</v>
      </c>
    </row>
    <row r="18" spans="1:2" x14ac:dyDescent="0.4">
      <c r="A18" s="2">
        <v>45674</v>
      </c>
      <c r="B18" s="7">
        <f>B17 * Expected_Weights!F19</f>
        <v>1.0610807995495495</v>
      </c>
    </row>
    <row r="19" spans="1:2" x14ac:dyDescent="0.4">
      <c r="A19" s="2">
        <v>45675</v>
      </c>
      <c r="B19" s="7">
        <f>B18 * Expected_Weights!F20</f>
        <v>1.0378657094594594</v>
      </c>
    </row>
    <row r="20" spans="1:2" x14ac:dyDescent="0.4">
      <c r="A20" s="2">
        <v>45676</v>
      </c>
      <c r="B20" s="7">
        <f>B19 * Expected_Weights!F21</f>
        <v>1.068286036036036</v>
      </c>
    </row>
    <row r="21" spans="1:2" x14ac:dyDescent="0.4">
      <c r="A21" s="2">
        <v>45677</v>
      </c>
      <c r="B21" s="7">
        <f>B20 * Expected_Weights!F22</f>
        <v>1.0447047054883389</v>
      </c>
    </row>
    <row r="22" spans="1:2" x14ac:dyDescent="0.4">
      <c r="A22" s="2">
        <v>45678</v>
      </c>
      <c r="B22" s="7">
        <f>B21 * Expected_Weights!F23</f>
        <v>1.0747587916073085</v>
      </c>
    </row>
    <row r="23" spans="1:2" x14ac:dyDescent="0.4">
      <c r="A23" s="2">
        <v>45679</v>
      </c>
      <c r="B23" s="7">
        <f>B22 * Expected_Weights!F24</f>
        <v>1.0511774610596114</v>
      </c>
    </row>
    <row r="24" spans="1:2" x14ac:dyDescent="0.4">
      <c r="A24" s="2">
        <v>45680</v>
      </c>
      <c r="B24" s="7">
        <f>B23 * Expected_Weights!F25</f>
        <v>1.0812315471785812</v>
      </c>
    </row>
    <row r="25" spans="1:2" x14ac:dyDescent="0.4">
      <c r="A25" s="2">
        <v>45681</v>
      </c>
      <c r="B25" s="7">
        <f>B24 * Expected_Weights!F26</f>
        <v>1.0576502166308839</v>
      </c>
    </row>
    <row r="26" spans="1:2" x14ac:dyDescent="0.4">
      <c r="A26" s="2">
        <v>45682</v>
      </c>
      <c r="B26" s="7">
        <f>B25 * Expected_Weights!F27</f>
        <v>1.0877043027498534</v>
      </c>
    </row>
    <row r="27" spans="1:2" x14ac:dyDescent="0.4">
      <c r="A27" s="2">
        <v>45683</v>
      </c>
      <c r="B27" s="7">
        <f>B26 * Expected_Weights!F28</f>
        <v>1.0641229722021566</v>
      </c>
    </row>
    <row r="28" spans="1:2" x14ac:dyDescent="0.4">
      <c r="A28" s="2">
        <v>45684</v>
      </c>
      <c r="B28" s="7">
        <f>B27 * Expected_Weights!F29</f>
        <v>1.0941770583211263</v>
      </c>
    </row>
    <row r="29" spans="1:2" x14ac:dyDescent="0.4">
      <c r="A29" s="2">
        <v>45685</v>
      </c>
      <c r="B29" s="7">
        <f>B28 * Expected_Weights!F30</f>
        <v>1.0705957277734293</v>
      </c>
    </row>
    <row r="30" spans="1:2" x14ac:dyDescent="0.4">
      <c r="A30" s="2">
        <v>45686</v>
      </c>
      <c r="B30" s="7">
        <f>B29 * Expected_Weights!F31</f>
        <v>1.100649813892399</v>
      </c>
    </row>
    <row r="31" spans="1:2" x14ac:dyDescent="0.4">
      <c r="A31" s="2">
        <v>45687</v>
      </c>
      <c r="B31" s="7">
        <f>B30 * Expected_Weights!F32</f>
        <v>1.077068483344702</v>
      </c>
    </row>
    <row r="32" spans="1:2" x14ac:dyDescent="0.4">
      <c r="A32" s="2">
        <v>45688</v>
      </c>
      <c r="B32" s="7">
        <f>B31 * Expected_Weights!F33</f>
        <v>1.1071225694636715</v>
      </c>
    </row>
    <row r="33" spans="1:2" x14ac:dyDescent="0.4">
      <c r="A33" s="2">
        <v>45689</v>
      </c>
      <c r="B33" s="7">
        <f>B32 * Expected_Weights!F34</f>
        <v>1.0835412389159746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C66B4-691D-4E6C-9B58-26BA46864B57}">
  <dimension ref="A1:N2"/>
  <sheetViews>
    <sheetView tabSelected="1" zoomScale="205" zoomScaleNormal="205" workbookViewId="0">
      <selection activeCell="L3" sqref="L3"/>
    </sheetView>
  </sheetViews>
  <sheetFormatPr defaultRowHeight="14.6" x14ac:dyDescent="0.4"/>
  <cols>
    <col min="1" max="1" width="8.07421875" bestFit="1" customWidth="1"/>
    <col min="2" max="3" width="10.07421875" bestFit="1" customWidth="1"/>
    <col min="4" max="4" width="8.53515625" bestFit="1" customWidth="1"/>
    <col min="5" max="5" width="7.61328125" bestFit="1" customWidth="1"/>
    <col min="6" max="6" width="13.23046875" style="5" bestFit="1" customWidth="1"/>
    <col min="7" max="7" width="7.53515625" style="5" bestFit="1" customWidth="1"/>
    <col min="8" max="8" width="10.15234375" style="5" bestFit="1" customWidth="1"/>
    <col min="9" max="9" width="6.61328125" style="5" bestFit="1" customWidth="1"/>
    <col min="10" max="10" width="6.84375" bestFit="1" customWidth="1"/>
    <col min="11" max="11" width="16.07421875" style="5" bestFit="1" customWidth="1"/>
    <col min="12" max="12" width="15.4609375" style="5" bestFit="1" customWidth="1"/>
    <col min="13" max="13" width="20.07421875" bestFit="1" customWidth="1"/>
  </cols>
  <sheetData>
    <row r="1" spans="1:14" x14ac:dyDescent="0.4">
      <c r="A1" s="1"/>
      <c r="B1" s="1" t="s">
        <v>17</v>
      </c>
      <c r="C1" s="1" t="s">
        <v>18</v>
      </c>
      <c r="D1" s="1" t="s">
        <v>19</v>
      </c>
      <c r="E1" s="1" t="s">
        <v>20</v>
      </c>
      <c r="F1" s="4" t="s">
        <v>21</v>
      </c>
      <c r="G1" s="4" t="s">
        <v>22</v>
      </c>
      <c r="H1" s="4" t="s">
        <v>23</v>
      </c>
      <c r="I1" s="4" t="s">
        <v>24</v>
      </c>
      <c r="J1" s="1" t="s">
        <v>25</v>
      </c>
      <c r="K1" s="4" t="s">
        <v>26</v>
      </c>
      <c r="L1" s="4" t="s">
        <v>27</v>
      </c>
      <c r="M1" s="1" t="s">
        <v>28</v>
      </c>
      <c r="N1" s="1"/>
    </row>
    <row r="2" spans="1:14" x14ac:dyDescent="0.4">
      <c r="A2" t="s">
        <v>14</v>
      </c>
      <c r="B2" s="2">
        <v>45658</v>
      </c>
      <c r="C2" s="2">
        <v>45689</v>
      </c>
      <c r="D2" t="s">
        <v>34</v>
      </c>
      <c r="E2" t="s">
        <v>40</v>
      </c>
      <c r="F2" s="5">
        <v>8.35</v>
      </c>
      <c r="G2" s="5">
        <v>157.37</v>
      </c>
      <c r="H2" s="5">
        <v>39.79</v>
      </c>
      <c r="I2" s="5">
        <v>1.78</v>
      </c>
      <c r="J2">
        <v>2.95</v>
      </c>
      <c r="K2" s="5">
        <v>-2.2200000000000002</v>
      </c>
      <c r="L2" s="5">
        <v>-2.14</v>
      </c>
      <c r="M2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</vt:lpstr>
      <vt:lpstr>Assets</vt:lpstr>
      <vt:lpstr>Prices</vt:lpstr>
      <vt:lpstr>Portfolios</vt:lpstr>
      <vt:lpstr>Expected_Weights</vt:lpstr>
      <vt:lpstr>Expected_Values</vt:lpstr>
      <vt:lpstr>Expected_Stats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Kello</dc:creator>
  <cp:lastModifiedBy>Jonas Kello</cp:lastModifiedBy>
  <dcterms:created xsi:type="dcterms:W3CDTF">2015-06-05T18:17:20Z</dcterms:created>
  <dcterms:modified xsi:type="dcterms:W3CDTF">2026-04-22T15:39:30Z</dcterms:modified>
</cp:coreProperties>
</file>