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959CAA9B-6404-469C-9668-121A3FE49D89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7" l="1"/>
  <c r="C8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D8" i="5"/>
  <c r="D9" i="5"/>
  <c r="D10" i="5"/>
  <c r="D3" i="5"/>
  <c r="E4" i="7" s="1"/>
  <c r="C5" i="7" l="1"/>
  <c r="D5" i="7"/>
  <c r="E8" i="7"/>
  <c r="B3" i="6"/>
  <c r="C9" i="7" l="1"/>
  <c r="D9" i="7"/>
  <c r="E5" i="7"/>
  <c r="C6" i="7" l="1"/>
  <c r="E9" i="7"/>
  <c r="D6" i="7"/>
  <c r="B4" i="6"/>
  <c r="C10" i="7" l="1"/>
  <c r="D10" i="7"/>
  <c r="E6" i="7"/>
  <c r="E10" i="7" l="1"/>
  <c r="C7" i="7"/>
  <c r="B5" i="6"/>
  <c r="D7" i="7"/>
  <c r="C11" i="7" l="1"/>
  <c r="D11" i="7"/>
  <c r="E11" i="7" s="1"/>
  <c r="E7" i="7"/>
  <c r="B6" i="6" s="1"/>
  <c r="B7" i="6" s="1"/>
  <c r="B8" i="6" s="1"/>
  <c r="B9" i="6" s="1"/>
  <c r="D12" i="7" l="1"/>
  <c r="C12" i="7"/>
  <c r="B10" i="6"/>
  <c r="E12" i="7" l="1"/>
  <c r="C13" i="7" l="1"/>
  <c r="D13" i="7"/>
  <c r="B11" i="6"/>
  <c r="E13" i="7" l="1"/>
  <c r="C14" i="7" l="1"/>
  <c r="D14" i="7"/>
  <c r="B12" i="6"/>
  <c r="E14" i="7" l="1"/>
  <c r="B13" i="6" l="1"/>
  <c r="E15" i="7"/>
  <c r="C16" i="7" s="1"/>
  <c r="D16" i="7" l="1"/>
  <c r="B14" i="6"/>
  <c r="E16" i="7" l="1"/>
  <c r="C17" i="7" l="1"/>
  <c r="D17" i="7"/>
  <c r="B15" i="6"/>
  <c r="E17" i="7" l="1"/>
  <c r="C18" i="7" l="1"/>
  <c r="D18" i="7"/>
  <c r="B16" i="6"/>
  <c r="E18" i="7" l="1"/>
  <c r="C19" i="7" l="1"/>
  <c r="D19" i="7"/>
  <c r="B17" i="6"/>
  <c r="E19" i="7" l="1"/>
  <c r="D20" i="7" s="1"/>
  <c r="C20" i="7" l="1"/>
  <c r="E20" i="7" s="1"/>
  <c r="B18" i="6"/>
  <c r="C21" i="7" l="1"/>
  <c r="D21" i="7"/>
  <c r="B19" i="6"/>
  <c r="E21" i="7" l="1"/>
  <c r="D22" i="7" s="1"/>
  <c r="B20" i="6" l="1"/>
  <c r="C22" i="7"/>
  <c r="E22" i="7" s="1"/>
  <c r="D23" i="7" s="1"/>
  <c r="C23" i="7" l="1"/>
  <c r="B21" i="6"/>
  <c r="E23" i="7" l="1"/>
  <c r="C24" i="7" l="1"/>
  <c r="D24" i="7"/>
  <c r="B22" i="6"/>
  <c r="E24" i="7" l="1"/>
  <c r="C25" i="7" l="1"/>
  <c r="D25" i="7"/>
  <c r="B23" i="6"/>
  <c r="E25" i="7" l="1"/>
  <c r="C26" i="7" l="1"/>
  <c r="D26" i="7"/>
  <c r="B24" i="6"/>
  <c r="E26" i="7" l="1"/>
  <c r="C27" i="7" l="1"/>
  <c r="D27" i="7"/>
  <c r="B25" i="6"/>
  <c r="E27" i="7" l="1"/>
  <c r="D28" i="7"/>
  <c r="B26" i="6" l="1"/>
  <c r="C28" i="7"/>
  <c r="E28" i="7"/>
  <c r="B27" i="6" l="1"/>
  <c r="E29" i="7"/>
  <c r="D30" i="7" s="1"/>
  <c r="C30" i="7" l="1"/>
  <c r="B28" i="6"/>
  <c r="E30" i="7" l="1"/>
  <c r="C31" i="7" l="1"/>
  <c r="D31" i="7"/>
  <c r="B29" i="6"/>
  <c r="E31" i="7" l="1"/>
  <c r="C32" i="7" l="1"/>
  <c r="D32" i="7"/>
  <c r="B30" i="6"/>
  <c r="E32" i="7" l="1"/>
  <c r="D33" i="7" s="1"/>
  <c r="C33" i="7" l="1"/>
  <c r="E33" i="7" s="1"/>
  <c r="B31" i="6"/>
  <c r="C34" i="7" l="1"/>
  <c r="D34" i="7"/>
  <c r="B32" i="6"/>
  <c r="E34" i="7" l="1"/>
  <c r="B33" i="6" s="1"/>
</calcChain>
</file>

<file path=xl/sharedStrings.xml><?xml version="1.0" encoding="utf-8"?>
<sst xmlns="http://schemas.openxmlformats.org/spreadsheetml/2006/main" count="57" uniqueCount="41">
  <si>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</si>
  <si>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</si>
  <si>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</si>
  <si>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</si>
  <si>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</si>
  <si>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</si>
  <si>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</si>
  <si>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</si>
  <si>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</si>
  <si>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</si>
  <si>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</si>
  <si>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</si>
  <si>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</si>
  <si>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</si>
  <si>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</si>
  <si>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</si>
  <si>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</si>
  <si>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</si>
  <si>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</si>
  <si>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</si>
  <si>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</si>
  <si>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</si>
  <si>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</si>
  <si>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</si>
  <si>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</si>
  <si>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</si>
  <si>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</si>
  <si>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</si>
  <si>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</si>
  <si>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</si>
  <si>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</si>
  <si>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</si>
  <si>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</si>
  <si>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</si>
  <si>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</si>
  <si>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</si>
  <si>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</si>
  <si>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</si>
  <si>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_WD</t>
  </si>
  <si>
    <t>_P1</t>
  </si>
  <si>
    <t>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</si>
</sst>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30</v>
      </c>
      <c r="B5" t="s">
        <v>12</v>
      </c>
    </row>
    <row r="6" spans="1:2" x14ac:dyDescent="0.4">
      <c r="A6" t="s">
        <v>31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7"/>
  </cols>
  <sheetData>
    <row r="1" spans="1:5" x14ac:dyDescent="0.4">
      <c r="A1" s="1" t="s">
        <v>13</v>
      </c>
      <c r="B1" s="1" t="s">
        <v>8</v>
      </c>
      <c r="C1" s="1" t="s">
        <v>9</v>
      </c>
      <c r="D1" s="6" t="s">
        <v>35</v>
      </c>
      <c r="E1" s="10" t="s">
        <v>36</v>
      </c>
    </row>
    <row r="2" spans="1:5" x14ac:dyDescent="0.4">
      <c r="A2" s="2">
        <v>45658</v>
      </c>
      <c r="B2">
        <v>100</v>
      </c>
      <c r="C2">
        <v>100</v>
      </c>
      <c r="D2" s="7">
        <v>0</v>
      </c>
      <c r="E2" s="7">
        <v>0</v>
      </c>
    </row>
    <row r="3" spans="1:5" x14ac:dyDescent="0.4">
      <c r="A3" s="2">
        <v>45659</v>
      </c>
      <c r="B3">
        <v>101</v>
      </c>
      <c r="C3">
        <v>90</v>
      </c>
      <c r="D3" s="7">
        <f>B3/B2</f>
        <v>1.01</v>
      </c>
      <c r="E3" s="7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7">
        <f t="shared" ref="D4:D10" si="0">B4/B3</f>
        <v>1.0099009900990099</v>
      </c>
      <c r="E4" s="7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7">
        <f t="shared" si="0"/>
        <v>1.0098039215686274</v>
      </c>
      <c r="E5" s="7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7">
        <f t="shared" si="0"/>
        <v>1.0097087378640777</v>
      </c>
      <c r="E6" s="7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7">
        <f t="shared" si="0"/>
        <v>1.0096153846153846</v>
      </c>
      <c r="E7" s="7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7">
        <f t="shared" si="0"/>
        <v>1.0095238095238095</v>
      </c>
      <c r="E8" s="7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7">
        <f t="shared" si="0"/>
        <v>1.0094339622641511</v>
      </c>
      <c r="E9" s="7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7">
        <f t="shared" si="0"/>
        <v>1.0093457943925233</v>
      </c>
      <c r="E10" s="7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7">
        <f t="shared" ref="D11:D20" si="2">B11/B10</f>
        <v>1.0092592592592593</v>
      </c>
      <c r="E11" s="7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7">
        <f t="shared" si="2"/>
        <v>1.0091743119266054</v>
      </c>
      <c r="E12" s="7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7">
        <f t="shared" si="2"/>
        <v>1.009090909090909</v>
      </c>
      <c r="E13" s="7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7">
        <f t="shared" si="2"/>
        <v>1.0090090090090089</v>
      </c>
      <c r="E14" s="7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7">
        <f t="shared" si="2"/>
        <v>1.0089285714285714</v>
      </c>
      <c r="E15" s="7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7">
        <f t="shared" si="2"/>
        <v>1.0088495575221239</v>
      </c>
      <c r="E16" s="7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7">
        <f t="shared" si="2"/>
        <v>1.0087719298245614</v>
      </c>
      <c r="E17" s="7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7">
        <f t="shared" si="2"/>
        <v>1.008695652173913</v>
      </c>
      <c r="E18" s="7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7">
        <f t="shared" si="2"/>
        <v>1.0086206896551724</v>
      </c>
      <c r="E19" s="7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7">
        <f t="shared" si="2"/>
        <v>1.0085470085470085</v>
      </c>
      <c r="E20" s="7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7">
        <f t="shared" ref="D21:D33" si="4">B21/B20</f>
        <v>1.0084745762711864</v>
      </c>
      <c r="E21" s="7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7">
        <f t="shared" si="4"/>
        <v>1.0084033613445378</v>
      </c>
      <c r="E22" s="7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7">
        <f t="shared" si="4"/>
        <v>1.0083333333333333</v>
      </c>
      <c r="E23" s="7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7">
        <f t="shared" si="4"/>
        <v>1.0082644628099173</v>
      </c>
      <c r="E24" s="7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7">
        <f t="shared" si="4"/>
        <v>1.0081967213114753</v>
      </c>
      <c r="E25" s="7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7">
        <f t="shared" si="4"/>
        <v>1.0081300813008129</v>
      </c>
      <c r="E26" s="7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7">
        <f t="shared" si="4"/>
        <v>1.0080645161290323</v>
      </c>
      <c r="E27" s="7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7">
        <f t="shared" si="4"/>
        <v>1.008</v>
      </c>
      <c r="E28" s="7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7">
        <f t="shared" si="4"/>
        <v>1.0079365079365079</v>
      </c>
      <c r="E29" s="7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7">
        <f t="shared" si="4"/>
        <v>1.0078740157480315</v>
      </c>
      <c r="E30" s="7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7">
        <f t="shared" si="4"/>
        <v>1.0078125</v>
      </c>
      <c r="E31" s="7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7">
        <f t="shared" si="4"/>
        <v>1.0077519379844961</v>
      </c>
      <c r="E32" s="7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7">
        <f t="shared" si="4"/>
        <v>1.0076923076923077</v>
      </c>
      <c r="E33" s="7">
        <f t="shared" si="5"/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B5"/>
  <sheetViews>
    <sheetView zoomScale="175" zoomScaleNormal="175" workbookViewId="0">
      <selection activeCell="B4" sqref="B4"/>
    </sheetView>
  </sheetViews>
  <sheetFormatPr defaultRowHeight="14.6" x14ac:dyDescent="0.4"/>
  <cols>
    <col min="1" max="1" width="10.3046875" bestFit="1" customWidth="1"/>
  </cols>
  <sheetData>
    <row r="1" spans="1:2" x14ac:dyDescent="0.4">
      <c r="A1" s="1" t="s">
        <v>7</v>
      </c>
      <c r="B1" s="1" t="s">
        <v>14</v>
      </c>
    </row>
    <row r="2" spans="1:2" x14ac:dyDescent="0.4">
      <c r="A2" s="1" t="s">
        <v>32</v>
      </c>
      <c r="B2" t="s">
        <v>34</v>
      </c>
    </row>
    <row r="3" spans="1:2" x14ac:dyDescent="0.4">
      <c r="A3" s="1" t="s">
        <v>33</v>
      </c>
      <c r="B3" t="s">
        <v>40</v>
      </c>
    </row>
    <row r="4" spans="1:2" x14ac:dyDescent="0.4">
      <c r="A4" t="s">
        <v>8</v>
      </c>
      <c r="B4" s="3">
        <v>0.5</v>
      </c>
    </row>
    <row r="5" spans="1:2" x14ac:dyDescent="0.4">
      <c r="A5" t="s">
        <v>9</v>
      </c>
      <c r="B5" s="3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G34"/>
  <sheetViews>
    <sheetView topLeftCell="A16" zoomScale="190" zoomScaleNormal="190" workbookViewId="0">
      <selection activeCell="G29" sqref="G29"/>
    </sheetView>
  </sheetViews>
  <sheetFormatPr defaultRowHeight="14.6" x14ac:dyDescent="0.4"/>
  <cols>
    <col min="1" max="1" width="10.07421875" bestFit="1" customWidth="1"/>
    <col min="2" max="2" width="10.4609375" bestFit="1" customWidth="1"/>
    <col min="5" max="5" width="11.15234375" bestFit="1" customWidth="1"/>
  </cols>
  <sheetData>
    <row r="1" spans="1:7" x14ac:dyDescent="0.4">
      <c r="A1" s="1" t="s">
        <v>16</v>
      </c>
      <c r="B1" s="1" t="s">
        <v>38</v>
      </c>
      <c r="C1" s="8" t="s">
        <v>14</v>
      </c>
      <c r="D1" s="8" t="s">
        <v>14</v>
      </c>
      <c r="E1" s="8" t="s">
        <v>39</v>
      </c>
    </row>
    <row r="2" spans="1:7" x14ac:dyDescent="0.4">
      <c r="A2" s="1" t="s">
        <v>15</v>
      </c>
      <c r="B2" s="1" t="s">
        <v>38</v>
      </c>
      <c r="C2" s="8" t="s">
        <v>8</v>
      </c>
      <c r="D2" s="8" t="s">
        <v>9</v>
      </c>
      <c r="E2" s="8" t="s">
        <v>37</v>
      </c>
    </row>
    <row r="3" spans="1:7" x14ac:dyDescent="0.4">
      <c r="A3" s="2">
        <v>45658</v>
      </c>
      <c r="B3" s="11">
        <f t="shared" ref="B3:B34" si="0">A3</f>
        <v>45658</v>
      </c>
      <c r="C3" s="9">
        <v>0.5</v>
      </c>
      <c r="D3" s="9">
        <v>0.5</v>
      </c>
      <c r="E3" s="7">
        <v>1</v>
      </c>
    </row>
    <row r="4" spans="1:7" x14ac:dyDescent="0.4">
      <c r="A4" s="2">
        <v>45659</v>
      </c>
      <c r="B4" s="11">
        <f t="shared" si="0"/>
        <v>45659</v>
      </c>
      <c r="C4" s="9">
        <v>0.5</v>
      </c>
      <c r="D4" s="9">
        <v>0.5</v>
      </c>
      <c r="E4" s="7">
        <f xml:space="preserve"> $C4 * Prices!$D3 + $D4 * Prices!$E3</f>
        <v>0.95500000000000007</v>
      </c>
    </row>
    <row r="5" spans="1:7" x14ac:dyDescent="0.4">
      <c r="A5" s="2">
        <v>45660</v>
      </c>
      <c r="B5" s="11">
        <f t="shared" si="0"/>
        <v>45660</v>
      </c>
      <c r="C5" s="9">
        <f>(C4 * Prices!D3) / $E4</f>
        <v>0.52879581151832455</v>
      </c>
      <c r="D5" s="9">
        <f>(D4 * Prices!E3) / $E4</f>
        <v>0.47120418848167539</v>
      </c>
      <c r="E5" s="7">
        <f xml:space="preserve"> $C5 * Prices!$D4 + $D5 * Prices!$E4</f>
        <v>1.0575916230366491</v>
      </c>
    </row>
    <row r="6" spans="1:7" x14ac:dyDescent="0.4">
      <c r="A6" s="2">
        <v>45661</v>
      </c>
      <c r="B6" s="11">
        <f t="shared" si="0"/>
        <v>45661</v>
      </c>
      <c r="C6" s="9">
        <f>(C5 * Prices!D4) / $E5</f>
        <v>0.50495049504950495</v>
      </c>
      <c r="D6" s="9">
        <f>(D5 * Prices!E4) / E5</f>
        <v>0.4950495049504951</v>
      </c>
      <c r="E6" s="7">
        <f xml:space="preserve"> $C6 * Prices!$D5 + $D6 * Prices!$E5</f>
        <v>0.95544554455445552</v>
      </c>
    </row>
    <row r="7" spans="1:7" x14ac:dyDescent="0.4">
      <c r="A7" s="2">
        <v>45662</v>
      </c>
      <c r="B7" s="11">
        <f t="shared" si="0"/>
        <v>45662</v>
      </c>
      <c r="C7" s="9">
        <f>(C6 * Prices!D5) / $E6</f>
        <v>0.53367875647668395</v>
      </c>
      <c r="D7" s="9">
        <f>(D6 * Prices!E5) / E6</f>
        <v>0.46632124352331611</v>
      </c>
      <c r="E7" s="7">
        <f xml:space="preserve"> $C7 * Prices!$D6 + $D7 * Prices!$E6</f>
        <v>1.0569948186528499</v>
      </c>
    </row>
    <row r="8" spans="1:7" x14ac:dyDescent="0.4">
      <c r="A8" s="2">
        <v>45663</v>
      </c>
      <c r="B8" s="12">
        <f t="shared" si="0"/>
        <v>45663</v>
      </c>
      <c r="C8" s="9">
        <f>(C7 * Prices!D6) / $E7</f>
        <v>0.50980392156862742</v>
      </c>
      <c r="D8" s="9">
        <f>(D7 * Prices!E6) / E7</f>
        <v>0.49019607843137253</v>
      </c>
      <c r="E8" s="7">
        <f xml:space="preserve"> $C8 * Prices!$D7 + $D8 * Prices!$E7</f>
        <v>0.95588235294117641</v>
      </c>
    </row>
    <row r="9" spans="1:7" x14ac:dyDescent="0.4">
      <c r="A9" s="2">
        <v>45664</v>
      </c>
      <c r="B9" s="11">
        <f t="shared" si="0"/>
        <v>45664</v>
      </c>
      <c r="C9" s="9">
        <f>(C8 * Prices!D7) / $E8</f>
        <v>0.53846153846153844</v>
      </c>
      <c r="D9" s="9">
        <f>(D8 * Prices!E7) / E8</f>
        <v>0.46153846153846156</v>
      </c>
      <c r="E9" s="7">
        <f xml:space="preserve"> $C9 * Prices!$D8 + $D9 * Prices!$E8</f>
        <v>1.0564102564102564</v>
      </c>
    </row>
    <row r="10" spans="1:7" x14ac:dyDescent="0.4">
      <c r="A10" s="2">
        <v>45665</v>
      </c>
      <c r="B10" s="11">
        <f t="shared" si="0"/>
        <v>45665</v>
      </c>
      <c r="C10" s="9">
        <f>(C9 * Prices!D8) / $E9</f>
        <v>0.5145631067961165</v>
      </c>
      <c r="D10" s="9">
        <f>(D9 * Prices!E8) / E9</f>
        <v>0.48543689320388356</v>
      </c>
      <c r="E10" s="7">
        <f xml:space="preserve"> $C10 * Prices!$D9 + $D10 * Prices!$E9</f>
        <v>0.95631067961165073</v>
      </c>
    </row>
    <row r="11" spans="1:7" x14ac:dyDescent="0.4">
      <c r="A11" s="2">
        <v>45666</v>
      </c>
      <c r="B11" s="11">
        <f t="shared" si="0"/>
        <v>45666</v>
      </c>
      <c r="C11" s="9">
        <f>(C10 * Prices!D9) / $E10</f>
        <v>0.54314720812182737</v>
      </c>
      <c r="D11" s="9">
        <f>(D10 * Prices!E9) / E10</f>
        <v>0.45685279187817257</v>
      </c>
      <c r="E11" s="7">
        <f xml:space="preserve"> $C11 * Prices!$D10 + $D11 * Prices!$E10</f>
        <v>1.0558375634517765</v>
      </c>
    </row>
    <row r="12" spans="1:7" x14ac:dyDescent="0.4">
      <c r="A12" s="2">
        <v>45667</v>
      </c>
      <c r="B12" s="11">
        <f t="shared" si="0"/>
        <v>45667</v>
      </c>
      <c r="C12" s="9">
        <f>(C11 * Prices!D10) / $E11</f>
        <v>0.51923076923076916</v>
      </c>
      <c r="D12" s="9">
        <f>(D11 * Prices!E10) / E11</f>
        <v>0.48076923076923084</v>
      </c>
      <c r="E12" s="7">
        <f xml:space="preserve"> $C12 * Prices!$D11 + $D12 * Prices!$E11</f>
        <v>0.95673076923076916</v>
      </c>
    </row>
    <row r="13" spans="1:7" x14ac:dyDescent="0.4">
      <c r="A13" s="2">
        <v>45668</v>
      </c>
      <c r="B13" s="11">
        <f t="shared" si="0"/>
        <v>45668</v>
      </c>
      <c r="C13" s="9">
        <f>(C12 * Prices!D11) / $E12</f>
        <v>0.54773869346733661</v>
      </c>
      <c r="D13" s="9">
        <f>(D12 * Prices!E11) / E12</f>
        <v>0.45226130653266344</v>
      </c>
      <c r="E13" s="7">
        <f xml:space="preserve"> $C13 * Prices!$D12 + $D13 * Prices!$E12</f>
        <v>1.0552763819095479</v>
      </c>
    </row>
    <row r="14" spans="1:7" x14ac:dyDescent="0.4">
      <c r="A14" s="2">
        <v>45669</v>
      </c>
      <c r="B14" s="11">
        <f t="shared" si="0"/>
        <v>45669</v>
      </c>
      <c r="C14" s="9">
        <f>(C13 * Prices!D12) / $E13</f>
        <v>0.52380952380952372</v>
      </c>
      <c r="D14" s="9">
        <f>(D13 * Prices!E12) / E13</f>
        <v>0.47619047619047628</v>
      </c>
      <c r="E14" s="7">
        <f xml:space="preserve"> $C14 * Prices!$D13 + $D14 * Prices!$E13</f>
        <v>0.95714285714285707</v>
      </c>
    </row>
    <row r="15" spans="1:7" x14ac:dyDescent="0.4">
      <c r="A15" s="2">
        <v>45670</v>
      </c>
      <c r="B15" s="12">
        <f t="shared" si="0"/>
        <v>45670</v>
      </c>
      <c r="C15" s="8">
        <v>0.52500000000000002</v>
      </c>
      <c r="D15" s="8">
        <v>0.47499999999999998</v>
      </c>
      <c r="E15" s="7">
        <f xml:space="preserve"> $C15 * Prices!$D14 + $D15 * Prices!$E14</f>
        <v>1.0575075075075075</v>
      </c>
      <c r="G15" s="9"/>
    </row>
    <row r="16" spans="1:7" x14ac:dyDescent="0.4">
      <c r="A16" s="2">
        <v>45671</v>
      </c>
      <c r="B16" s="11">
        <f t="shared" si="0"/>
        <v>45671</v>
      </c>
      <c r="C16" s="9">
        <f>(C15 * Prices!D14) / $E15</f>
        <v>0.50092290217236979</v>
      </c>
      <c r="D16" s="9">
        <f>(D15 * Prices!E14) / E15</f>
        <v>0.49907709782763027</v>
      </c>
      <c r="E16" s="7">
        <f xml:space="preserve"> $C16 * Prices!$D15 + $D16 * Prices!$E15</f>
        <v>0.9545648161294904</v>
      </c>
    </row>
    <row r="17" spans="1:7" x14ac:dyDescent="0.4">
      <c r="A17" s="2">
        <v>45672</v>
      </c>
      <c r="B17" s="11">
        <f t="shared" si="0"/>
        <v>45672</v>
      </c>
      <c r="C17" s="9">
        <f>(C16 * Prices!D15) / $E16</f>
        <v>0.52945113788487286</v>
      </c>
      <c r="D17" s="9">
        <f>(D16 * Prices!E15) / E16</f>
        <v>0.47054886211512709</v>
      </c>
      <c r="E17" s="7">
        <f xml:space="preserve"> $C17 * Prices!$D16 + $D17 * Prices!$E16</f>
        <v>1.0569686152015469</v>
      </c>
    </row>
    <row r="18" spans="1:7" x14ac:dyDescent="0.4">
      <c r="A18" s="2">
        <v>45673</v>
      </c>
      <c r="B18" s="11">
        <f t="shared" si="0"/>
        <v>45673</v>
      </c>
      <c r="C18" s="9">
        <f>(C17 * Prices!D16) / $E17</f>
        <v>0.50534759358288783</v>
      </c>
      <c r="D18" s="9">
        <f>(D17 * Prices!E16) / E17</f>
        <v>0.49465240641711222</v>
      </c>
      <c r="E18" s="7">
        <f xml:space="preserve"> $C18 * Prices!$D17 + $D18 * Prices!$E17</f>
        <v>0.9549676329862089</v>
      </c>
    </row>
    <row r="19" spans="1:7" x14ac:dyDescent="0.4">
      <c r="A19" s="2">
        <v>45674</v>
      </c>
      <c r="B19" s="11">
        <f t="shared" si="0"/>
        <v>45674</v>
      </c>
      <c r="C19" s="9">
        <f>(C18 * Prices!D17) / $E18</f>
        <v>0.53381962864721499</v>
      </c>
      <c r="D19" s="9">
        <f>(D18 * Prices!E17) / E18</f>
        <v>0.46618037135278506</v>
      </c>
      <c r="E19" s="7">
        <f xml:space="preserve"> $C19 * Prices!$D18 + $D19 * Prices!$E18</f>
        <v>1.0564397288535221</v>
      </c>
    </row>
    <row r="20" spans="1:7" x14ac:dyDescent="0.4">
      <c r="A20" s="2">
        <v>45675</v>
      </c>
      <c r="B20" s="11">
        <f t="shared" si="0"/>
        <v>45675</v>
      </c>
      <c r="C20" s="9">
        <f>(C19 * Prices!D18) / $E19</f>
        <v>0.50969451806388621</v>
      </c>
      <c r="D20" s="9">
        <f>(D19 * Prices!E18) / E19</f>
        <v>0.49030548193611373</v>
      </c>
      <c r="E20" s="7">
        <f xml:space="preserve"> $C20 * Prices!$D19 + $D20 * Prices!$E19</f>
        <v>0.95536337006556005</v>
      </c>
    </row>
    <row r="21" spans="1:7" x14ac:dyDescent="0.4">
      <c r="A21" s="2">
        <v>45676</v>
      </c>
      <c r="B21" s="11">
        <f t="shared" si="0"/>
        <v>45676</v>
      </c>
      <c r="C21" s="9">
        <f>(C20 * Prices!D19) / $E20</f>
        <v>0.53810775295663604</v>
      </c>
      <c r="D21" s="9">
        <f>(D20 * Prices!E19) / E20</f>
        <v>0.4618922470433639</v>
      </c>
      <c r="E21" s="7">
        <f xml:space="preserve"> $C21 * Prices!$D20 + $D21 * Prices!$E20</f>
        <v>1.0559205723463279</v>
      </c>
    </row>
    <row r="22" spans="1:7" x14ac:dyDescent="0.4">
      <c r="A22" s="2">
        <v>45677</v>
      </c>
      <c r="B22" s="12">
        <f t="shared" si="0"/>
        <v>45677</v>
      </c>
      <c r="C22" s="9">
        <f>(C21 * Prices!D20) / $E21</f>
        <v>0.51396570796460184</v>
      </c>
      <c r="D22" s="9">
        <f>(D21 * Prices!E20) / E21</f>
        <v>0.48603429203539822</v>
      </c>
      <c r="E22" s="7">
        <f xml:space="preserve"> $C22 * Prices!$D21 + $D22 * Prices!$E21</f>
        <v>0.95575221238938057</v>
      </c>
    </row>
    <row r="23" spans="1:7" x14ac:dyDescent="0.4">
      <c r="A23" s="2">
        <v>45678</v>
      </c>
      <c r="B23" s="11">
        <f t="shared" si="0"/>
        <v>45678</v>
      </c>
      <c r="C23" s="9">
        <f>(C22 * Prices!D21) / $E22</f>
        <v>0.54231770833333337</v>
      </c>
      <c r="D23" s="9">
        <f>(D22 * Prices!E21) / E22</f>
        <v>0.45768229166666663</v>
      </c>
      <c r="E23" s="7">
        <f xml:space="preserve"> $C23 * Prices!$D22 + $D23 * Prices!$E22</f>
        <v>1.0554108796296298</v>
      </c>
    </row>
    <row r="24" spans="1:7" x14ac:dyDescent="0.4">
      <c r="A24" s="2">
        <v>45679</v>
      </c>
      <c r="B24" s="11">
        <f t="shared" si="0"/>
        <v>45679</v>
      </c>
      <c r="C24" s="9">
        <f>(C23 * Prices!D22) / $E23</f>
        <v>0.5181631254283755</v>
      </c>
      <c r="D24" s="9">
        <f>(D23 * Prices!E22) / E23</f>
        <v>0.48183687457162439</v>
      </c>
      <c r="E24" s="7">
        <f xml:space="preserve"> $C24 * Prices!$D23 + $D24 * Prices!$E23</f>
        <v>0.95613433858807384</v>
      </c>
    </row>
    <row r="25" spans="1:7" x14ac:dyDescent="0.4">
      <c r="A25" s="2">
        <v>45680</v>
      </c>
      <c r="B25" s="11">
        <f t="shared" si="0"/>
        <v>45680</v>
      </c>
      <c r="C25" s="9">
        <f>(C24 * Prices!D23) / $E24</f>
        <v>0.54645161290322586</v>
      </c>
      <c r="D25" s="9">
        <f>(D24 * Prices!E23) / E24</f>
        <v>0.45354838709677425</v>
      </c>
      <c r="E25" s="7">
        <f xml:space="preserve"> $C25 * Prices!$D24 + $D25 * Prices!$E24</f>
        <v>1.0549103942652331</v>
      </c>
    </row>
    <row r="26" spans="1:7" x14ac:dyDescent="0.4">
      <c r="A26" s="2">
        <v>45681</v>
      </c>
      <c r="B26" s="11">
        <f t="shared" si="0"/>
        <v>45681</v>
      </c>
      <c r="C26" s="9">
        <f>(C25 * Prices!D24) / $E25</f>
        <v>0.52228866539820595</v>
      </c>
      <c r="D26" s="9">
        <f>(D25 * Prices!E24) / E25</f>
        <v>0.47771133460179399</v>
      </c>
      <c r="E26" s="7">
        <f xml:space="preserve"> $C26 * Prices!$D25 + $D26 * Prices!$E25</f>
        <v>0.95650992117423195</v>
      </c>
    </row>
    <row r="27" spans="1:7" x14ac:dyDescent="0.4">
      <c r="A27" s="2">
        <v>45682</v>
      </c>
      <c r="B27" s="11">
        <f t="shared" si="0"/>
        <v>45682</v>
      </c>
      <c r="C27" s="9">
        <f>(C26 * Prices!D25) / $E26</f>
        <v>0.55051150895140655</v>
      </c>
      <c r="D27" s="9">
        <f>(D26 * Prices!E25) / E26</f>
        <v>0.44948849104859345</v>
      </c>
      <c r="E27" s="7">
        <f xml:space="preserve"> $C27 * Prices!$D26 + $D27 * Prices!$E26</f>
        <v>1.0544188689968741</v>
      </c>
    </row>
    <row r="28" spans="1:7" x14ac:dyDescent="0.4">
      <c r="A28" s="2">
        <v>45683</v>
      </c>
      <c r="B28" s="11">
        <f t="shared" si="0"/>
        <v>45683</v>
      </c>
      <c r="C28" s="9">
        <f>(C27 * Prices!D26) / $E27</f>
        <v>0.5263441584692089</v>
      </c>
      <c r="D28" s="9">
        <f>(D27 * Prices!E26) / E27</f>
        <v>0.47365584153079116</v>
      </c>
      <c r="E28" s="7">
        <f xml:space="preserve"> $C28 * Prices!$D27 + $D28 * Prices!$E27</f>
        <v>0.95687912680231779</v>
      </c>
    </row>
    <row r="29" spans="1:7" x14ac:dyDescent="0.4">
      <c r="A29" s="2">
        <v>45684</v>
      </c>
      <c r="B29" s="12">
        <f t="shared" si="0"/>
        <v>45684</v>
      </c>
      <c r="C29" s="8">
        <v>0.52500000000000002</v>
      </c>
      <c r="D29" s="8">
        <v>0.47499999999999998</v>
      </c>
      <c r="E29" s="7">
        <f xml:space="preserve"> $C29 * Prices!$D28 + $D29 * Prices!$E28</f>
        <v>1.0569777777777778</v>
      </c>
      <c r="G29" s="9"/>
    </row>
    <row r="30" spans="1:7" x14ac:dyDescent="0.4">
      <c r="A30" s="2">
        <v>45685</v>
      </c>
      <c r="B30" s="11">
        <f t="shared" si="0"/>
        <v>45685</v>
      </c>
      <c r="C30" s="9">
        <f>(C29 * Prices!D28) / $E29</f>
        <v>0.50067277773105712</v>
      </c>
      <c r="D30" s="9">
        <f>(D29 * Prices!E28) / E29</f>
        <v>0.49932722226894288</v>
      </c>
      <c r="E30" s="7">
        <f xml:space="preserve"> $C30 * Prices!$D29 + $D30 * Prices!$E29</f>
        <v>0.95404087124716175</v>
      </c>
    </row>
    <row r="31" spans="1:7" x14ac:dyDescent="0.4">
      <c r="A31" s="2">
        <v>45686</v>
      </c>
      <c r="B31" s="11">
        <f t="shared" si="0"/>
        <v>45686</v>
      </c>
      <c r="C31" s="9">
        <f>(C30 * Prices!D29) / $E30</f>
        <v>0.52895676318921059</v>
      </c>
      <c r="D31" s="9">
        <f>(D30 * Prices!E29) / E30</f>
        <v>0.47104323681078936</v>
      </c>
      <c r="E31" s="7">
        <f xml:space="preserve"> $C31 * Prices!$D30 + $D31 * Prices!$E30</f>
        <v>1.0565031513068006</v>
      </c>
    </row>
    <row r="32" spans="1:7" x14ac:dyDescent="0.4">
      <c r="A32" s="2">
        <v>45687</v>
      </c>
      <c r="B32" s="11">
        <f t="shared" si="0"/>
        <v>45687</v>
      </c>
      <c r="C32" s="9">
        <f>(C31 * Prices!D30) / $E31</f>
        <v>0.504609736765258</v>
      </c>
      <c r="D32" s="9">
        <f>(D31 * Prices!E30) / E31</f>
        <v>0.49539026323474195</v>
      </c>
      <c r="E32" s="7">
        <f xml:space="preserve"> $C32 * Prices!$D31 + $D32 * Prices!$E31</f>
        <v>0.95440323724500442</v>
      </c>
    </row>
    <row r="33" spans="1:5" x14ac:dyDescent="0.4">
      <c r="A33" s="2">
        <v>45688</v>
      </c>
      <c r="B33" s="11">
        <f t="shared" si="0"/>
        <v>45688</v>
      </c>
      <c r="C33" s="9">
        <f>(C32 * Prices!D31) / $E32</f>
        <v>0.53284815106215577</v>
      </c>
      <c r="D33" s="9">
        <f>(D32 * Prices!E31) / E32</f>
        <v>0.46715184893784417</v>
      </c>
      <c r="E33" s="7">
        <f xml:space="preserve"> $C33 * Prices!$D32 + $D33 * Prices!$E32</f>
        <v>1.056036366815281</v>
      </c>
    </row>
    <row r="34" spans="1:5" x14ac:dyDescent="0.4">
      <c r="A34" s="2">
        <v>45689</v>
      </c>
      <c r="B34" s="11">
        <f t="shared" si="0"/>
        <v>45689</v>
      </c>
      <c r="C34" s="9">
        <f>(C33 * Prices!D32) / $E33</f>
        <v>0.50848509933774833</v>
      </c>
      <c r="D34" s="9">
        <f>(D33 * Prices!E32) / E33</f>
        <v>0.49151490066225162</v>
      </c>
      <c r="E34" s="7">
        <f xml:space="preserve"> $C34 * Prices!$D33 + $D34 * Prices!$E33</f>
        <v>0.95475993377483437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B33"/>
  <sheetViews>
    <sheetView zoomScale="205" zoomScaleNormal="205" workbookViewId="0">
      <selection activeCell="C1" sqref="C1:C1048576"/>
    </sheetView>
  </sheetViews>
  <sheetFormatPr defaultRowHeight="14.6" x14ac:dyDescent="0.4"/>
  <cols>
    <col min="1" max="1" width="10.07421875" bestFit="1" customWidth="1"/>
    <col min="2" max="2" width="9.23046875" style="7"/>
  </cols>
  <sheetData>
    <row r="1" spans="1:2" x14ac:dyDescent="0.4">
      <c r="A1" s="1" t="s">
        <v>13</v>
      </c>
      <c r="B1" s="6" t="s">
        <v>14</v>
      </c>
    </row>
    <row r="2" spans="1:2" x14ac:dyDescent="0.4">
      <c r="A2" s="2">
        <v>45658</v>
      </c>
      <c r="B2" s="7">
        <v>1</v>
      </c>
    </row>
    <row r="3" spans="1:2" x14ac:dyDescent="0.4">
      <c r="A3" s="2">
        <v>45659</v>
      </c>
      <c r="B3" s="7">
        <f>B2 * Expected_Weights!E4</f>
        <v>0.95500000000000007</v>
      </c>
    </row>
    <row r="4" spans="1:2" x14ac:dyDescent="0.4">
      <c r="A4" s="2">
        <v>45660</v>
      </c>
      <c r="B4" s="7">
        <f>B3 * Expected_Weights!E5</f>
        <v>1.01</v>
      </c>
    </row>
    <row r="5" spans="1:2" x14ac:dyDescent="0.4">
      <c r="A5" s="2">
        <v>45661</v>
      </c>
      <c r="B5" s="7">
        <f>B4 * Expected_Weights!E6</f>
        <v>0.96500000000000008</v>
      </c>
    </row>
    <row r="6" spans="1:2" x14ac:dyDescent="0.4">
      <c r="A6" s="2">
        <v>45662</v>
      </c>
      <c r="B6" s="7">
        <f>B5 * Expected_Weights!E7</f>
        <v>1.0200000000000002</v>
      </c>
    </row>
    <row r="7" spans="1:2" x14ac:dyDescent="0.4">
      <c r="A7" s="2">
        <v>45663</v>
      </c>
      <c r="B7" s="7">
        <f>B6 * Expected_Weights!E8</f>
        <v>0.9750000000000002</v>
      </c>
    </row>
    <row r="8" spans="1:2" x14ac:dyDescent="0.4">
      <c r="A8" s="2">
        <v>45664</v>
      </c>
      <c r="B8" s="7">
        <f>B7 * Expected_Weights!E9</f>
        <v>1.0300000000000002</v>
      </c>
    </row>
    <row r="9" spans="1:2" x14ac:dyDescent="0.4">
      <c r="A9" s="2">
        <v>45665</v>
      </c>
      <c r="B9" s="7">
        <f>B8 * Expected_Weights!E10</f>
        <v>0.98500000000000054</v>
      </c>
    </row>
    <row r="10" spans="1:2" x14ac:dyDescent="0.4">
      <c r="A10" s="2">
        <v>45666</v>
      </c>
      <c r="B10" s="7">
        <f>B9 * Expected_Weights!E11</f>
        <v>1.0400000000000005</v>
      </c>
    </row>
    <row r="11" spans="1:2" x14ac:dyDescent="0.4">
      <c r="A11" s="2">
        <v>45667</v>
      </c>
      <c r="B11" s="7">
        <f>B10 * Expected_Weights!E12</f>
        <v>0.99500000000000044</v>
      </c>
    </row>
    <row r="12" spans="1:2" x14ac:dyDescent="0.4">
      <c r="A12" s="2">
        <v>45668</v>
      </c>
      <c r="B12" s="7">
        <f>B11 * Expected_Weights!E13</f>
        <v>1.0500000000000005</v>
      </c>
    </row>
    <row r="13" spans="1:2" x14ac:dyDescent="0.4">
      <c r="A13" s="2">
        <v>45669</v>
      </c>
      <c r="B13" s="7">
        <f>B12 * Expected_Weights!E14</f>
        <v>1.0050000000000003</v>
      </c>
    </row>
    <row r="14" spans="1:2" x14ac:dyDescent="0.4">
      <c r="A14" s="2">
        <v>45670</v>
      </c>
      <c r="B14" s="7">
        <f>B13 * Expected_Weights!E15</f>
        <v>1.0627950450450454</v>
      </c>
    </row>
    <row r="15" spans="1:2" x14ac:dyDescent="0.4">
      <c r="A15" s="2">
        <v>45671</v>
      </c>
      <c r="B15" s="7">
        <f>B14 * Expected_Weights!E16</f>
        <v>1.0145067567567572</v>
      </c>
    </row>
    <row r="16" spans="1:2" x14ac:dyDescent="0.4">
      <c r="A16" s="2">
        <v>45672</v>
      </c>
      <c r="B16" s="7">
        <f>B15 * Expected_Weights!E17</f>
        <v>1.0723018018018022</v>
      </c>
    </row>
    <row r="17" spans="1:2" x14ac:dyDescent="0.4">
      <c r="A17" s="2">
        <v>45673</v>
      </c>
      <c r="B17" s="7">
        <f>B16 * Expected_Weights!E18</f>
        <v>1.024013513513514</v>
      </c>
    </row>
    <row r="18" spans="1:2" x14ac:dyDescent="0.4">
      <c r="A18" s="2">
        <v>45674</v>
      </c>
      <c r="B18" s="7">
        <f>B17 * Expected_Weights!E19</f>
        <v>1.0818085585585593</v>
      </c>
    </row>
    <row r="19" spans="1:2" x14ac:dyDescent="0.4">
      <c r="A19" s="2">
        <v>45675</v>
      </c>
      <c r="B19" s="7">
        <f>B18 * Expected_Weights!E20</f>
        <v>1.033520270270271</v>
      </c>
    </row>
    <row r="20" spans="1:2" x14ac:dyDescent="0.4">
      <c r="A20" s="2">
        <v>45676</v>
      </c>
      <c r="B20" s="7">
        <f>B19 * Expected_Weights!E21</f>
        <v>1.0913153153153161</v>
      </c>
    </row>
    <row r="21" spans="1:2" x14ac:dyDescent="0.4">
      <c r="A21" s="2">
        <v>45677</v>
      </c>
      <c r="B21" s="7">
        <f>B20 * Expected_Weights!E22</f>
        <v>1.0430270270270279</v>
      </c>
    </row>
    <row r="22" spans="1:2" x14ac:dyDescent="0.4">
      <c r="A22" s="2">
        <v>45678</v>
      </c>
      <c r="B22" s="7">
        <f>B21 * Expected_Weights!E23</f>
        <v>1.1008220720720732</v>
      </c>
    </row>
    <row r="23" spans="1:2" x14ac:dyDescent="0.4">
      <c r="A23" s="2">
        <v>45679</v>
      </c>
      <c r="B23" s="7">
        <f>B22 * Expected_Weights!E24</f>
        <v>1.0525337837837847</v>
      </c>
    </row>
    <row r="24" spans="1:2" x14ac:dyDescent="0.4">
      <c r="A24" s="2">
        <v>45680</v>
      </c>
      <c r="B24" s="7">
        <f>B23 * Expected_Weights!E25</f>
        <v>1.11032882882883</v>
      </c>
    </row>
    <row r="25" spans="1:2" x14ac:dyDescent="0.4">
      <c r="A25" s="2">
        <v>45681</v>
      </c>
      <c r="B25" s="7">
        <f>B24 * Expected_Weights!E26</f>
        <v>1.0620405405405415</v>
      </c>
    </row>
    <row r="26" spans="1:2" x14ac:dyDescent="0.4">
      <c r="A26" s="2">
        <v>45682</v>
      </c>
      <c r="B26" s="7">
        <f>B25 * Expected_Weights!E27</f>
        <v>1.1198355855855866</v>
      </c>
    </row>
    <row r="27" spans="1:2" x14ac:dyDescent="0.4">
      <c r="A27" s="2">
        <v>45683</v>
      </c>
      <c r="B27" s="7">
        <f>B26 * Expected_Weights!E28</f>
        <v>1.0715472972972984</v>
      </c>
    </row>
    <row r="28" spans="1:2" x14ac:dyDescent="0.4">
      <c r="A28" s="2">
        <v>45684</v>
      </c>
      <c r="B28" s="7">
        <f>B27 * Expected_Weights!E29</f>
        <v>1.1326016810810822</v>
      </c>
    </row>
    <row r="29" spans="1:2" x14ac:dyDescent="0.4">
      <c r="A29" s="2">
        <v>45685</v>
      </c>
      <c r="B29" s="7">
        <f>B28 * Expected_Weights!E30</f>
        <v>1.0805482945945957</v>
      </c>
    </row>
    <row r="30" spans="1:2" x14ac:dyDescent="0.4">
      <c r="A30" s="2">
        <v>45686</v>
      </c>
      <c r="B30" s="7">
        <f>B29 * Expected_Weights!E31</f>
        <v>1.1416026783783795</v>
      </c>
    </row>
    <row r="31" spans="1:2" x14ac:dyDescent="0.4">
      <c r="A31" s="2">
        <v>45687</v>
      </c>
      <c r="B31" s="7">
        <f>B30 * Expected_Weights!E32</f>
        <v>1.089549291891893</v>
      </c>
    </row>
    <row r="32" spans="1:2" x14ac:dyDescent="0.4">
      <c r="A32" s="2">
        <v>45688</v>
      </c>
      <c r="B32" s="7">
        <f>B31 * Expected_Weights!E33</f>
        <v>1.1506036756756768</v>
      </c>
    </row>
    <row r="33" spans="1:2" x14ac:dyDescent="0.4">
      <c r="A33" s="2">
        <v>45689</v>
      </c>
      <c r="B33" s="7">
        <f>B32 * Expected_Weights!E34</f>
        <v>1.0985502891891901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2"/>
  <sheetViews>
    <sheetView tabSelected="1" zoomScale="205" zoomScaleNormal="205" workbookViewId="0">
      <selection activeCell="L3" sqref="L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17</v>
      </c>
      <c r="C1" s="1" t="s">
        <v>18</v>
      </c>
      <c r="D1" s="1" t="s">
        <v>19</v>
      </c>
      <c r="E1" s="1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1" t="s">
        <v>25</v>
      </c>
      <c r="K1" s="4" t="s">
        <v>26</v>
      </c>
      <c r="L1" s="4" t="s">
        <v>27</v>
      </c>
      <c r="M1" s="1" t="s">
        <v>28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34</v>
      </c>
      <c r="E2" t="s">
        <v>40</v>
      </c>
      <c r="F2" s="5">
        <v>9.86</v>
      </c>
      <c r="G2" s="5">
        <v>202.66</v>
      </c>
      <c r="H2" s="5">
        <v>79.42</v>
      </c>
      <c r="I2" s="5">
        <v>1.31</v>
      </c>
      <c r="J2">
        <v>2.1</v>
      </c>
      <c r="K2" s="5">
        <v>-4.5999999999999996</v>
      </c>
      <c r="L2" s="5">
        <v>-4.4400000000000004</v>
      </c>
      <c r="M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2026-04-22T13:36:58Z</dcterms:modified>
</cp:coreProperties>
</file>