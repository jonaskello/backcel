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code\github\jonaskello\backcel\public\tests\data\"/>
    </mc:Choice>
  </mc:AlternateContent>
  <xr:revisionPtr revIDLastSave="0" documentId="13_ncr:1_{71227824-674B-4214-980A-60497E825BD1}" xr6:coauthVersionLast="47" xr6:coauthVersionMax="47" xr10:uidLastSave="{00000000-0000-0000-0000-000000000000}"/>
  <bookViews>
    <workbookView xWindow="-103" yWindow="-103" windowWidth="33120" windowHeight="18000" activeTab="6" xr2:uid="{00000000-000D-0000-FFFF-FFFF00000000}"/>
  </bookViews>
  <sheets>
    <sheet name="Main" sheetId="1" r:id="rId1"/>
    <sheet name="Portfolios" sheetId="2" r:id="rId2"/>
    <sheet name="Assets" sheetId="4" r:id="rId3"/>
    <sheet name="Prices" sheetId="5" r:id="rId4"/>
    <sheet name="Expected_Values" sheetId="6" r:id="rId5"/>
    <sheet name="Expected_Weights" sheetId="7" r:id="rId6"/>
    <sheet name="Expected_Stats" sheetId="10" r:id="rId7"/>
    <sheet name="Sheet7" sheetId="1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7" l="1"/>
  <c r="E7" i="7" s="1"/>
  <c r="E8" i="7" s="1"/>
  <c r="D6" i="7"/>
  <c r="D7" i="7" s="1"/>
  <c r="E5" i="7"/>
  <c r="D5" i="7"/>
  <c r="D8" i="7" l="1"/>
  <c r="D9" i="7" l="1"/>
  <c r="E9" i="7"/>
  <c r="E10" i="7" s="1"/>
  <c r="D10" i="7" l="1"/>
  <c r="D11" i="7" l="1"/>
  <c r="E11" i="7"/>
  <c r="E12" i="7" s="1"/>
  <c r="D12" i="7" l="1"/>
  <c r="E13" i="7" s="1"/>
  <c r="D13" i="7" l="1"/>
  <c r="E14" i="7" s="1"/>
  <c r="D14" i="7" l="1"/>
  <c r="D15" i="7" l="1"/>
  <c r="E15" i="7"/>
  <c r="E16" i="7" s="1"/>
  <c r="D16" i="7"/>
  <c r="D17" i="7" s="1"/>
  <c r="E17" i="7" l="1"/>
  <c r="D18" i="7" l="1"/>
  <c r="E18" i="7"/>
  <c r="E19" i="7" s="1"/>
  <c r="D19" i="7" l="1"/>
  <c r="E20" i="7" l="1"/>
  <c r="E21" i="7" s="1"/>
  <c r="E22" i="7" s="1"/>
  <c r="D20" i="7"/>
  <c r="D21" i="7" s="1"/>
  <c r="D22" i="7" s="1"/>
  <c r="D23" i="7" s="1"/>
  <c r="E23" i="7" l="1"/>
  <c r="D24" i="7" l="1"/>
  <c r="E24" i="7"/>
  <c r="E25" i="7" s="1"/>
  <c r="D25" i="7" l="1"/>
  <c r="E26" i="7" l="1"/>
  <c r="D26" i="7"/>
  <c r="D27" i="7" s="1"/>
  <c r="E27" i="7" l="1"/>
  <c r="D28" i="7" l="1"/>
  <c r="D29" i="7" s="1"/>
  <c r="E28" i="7"/>
  <c r="E29" i="7" l="1"/>
  <c r="D30" i="7" l="1"/>
  <c r="E30" i="7"/>
  <c r="E31" i="7" s="1"/>
  <c r="D31" i="7" l="1"/>
  <c r="E32" i="7" l="1"/>
  <c r="D32" i="7"/>
  <c r="D33" i="7" s="1"/>
  <c r="E33" i="7" l="1"/>
  <c r="D34" i="7" l="1"/>
  <c r="E34" i="7"/>
</calcChain>
</file>

<file path=xl/sharedStrings.xml><?xml version="1.0" encoding="utf-8"?>
<sst xmlns="http://schemas.openxmlformats.org/spreadsheetml/2006/main" count="74" uniqueCount="47">
  <si>
    <t>Name</t>
  </si>
  <si>
    <t>Value</t>
  </si>
  <si>
    <t>currency</t>
  </si>
  <si>
    <t>SEK</t>
  </si>
  <si>
    <t>start</t>
  </si>
  <si>
    <t>end</t>
  </si>
  <si>
    <t>portfolios_source</t>
  </si>
  <si>
    <t>assets_source</t>
  </si>
  <si>
    <t>Assets</t>
  </si>
  <si>
    <t>ID</t>
  </si>
  <si>
    <t>A1</t>
  </si>
  <si>
    <t>A2</t>
  </si>
  <si>
    <t>The first asset</t>
  </si>
  <si>
    <t>The second asset</t>
  </si>
  <si>
    <t>Portfolios</t>
  </si>
  <si>
    <t>Currency</t>
  </si>
  <si>
    <t>Proxy</t>
  </si>
  <si>
    <t>Date</t>
  </si>
  <si>
    <t>P1</t>
  </si>
  <si>
    <t>P2</t>
  </si>
  <si>
    <t>P3</t>
  </si>
  <si>
    <t>Asset</t>
  </si>
  <si>
    <t>Portfolio</t>
  </si>
  <si>
    <t>Start</t>
  </si>
  <si>
    <t>End</t>
  </si>
  <si>
    <t>RB Check</t>
  </si>
  <si>
    <t>RB Type</t>
  </si>
  <si>
    <t>Total Return %</t>
  </si>
  <si>
    <t>CAGR %</t>
  </si>
  <si>
    <t>Volatility %</t>
  </si>
  <si>
    <t>Sharpe</t>
  </si>
  <si>
    <t>Sortino</t>
  </si>
  <si>
    <t>Max Drawdown %</t>
  </si>
  <si>
    <t>Avg Drawdown %</t>
  </si>
  <si>
    <t>Max Drawdown Period</t>
  </si>
  <si>
    <t>1.15 years</t>
  </si>
  <si>
    <t>1.34 years</t>
  </si>
  <si>
    <t>full</t>
  </si>
  <si>
    <t>1.08 years</t>
  </si>
  <si>
    <t>once</t>
  </si>
  <si>
    <t>$$CAGR = (1.31)^{\frac{365.25}{31}} - 1 \approx 23.0836 \rightarrow 2308.36\%$$</t>
  </si>
  <si>
    <t>Portfolio 1 ($100\%$ A1):</t>
  </si>
  <si>
    <t>Portfolio 2 ($100\%$ A2):</t>
  </si>
  <si>
    <t>$$CAGR = (0.90)^{\frac{365.25}{31}} - 1 \approx -0.7112 \rightarrow -71.1\%$$</t>
  </si>
  <si>
    <t>Portfolio 3 ($50/50$ Drift):</t>
  </si>
  <si>
    <t>$$CAGR = (1.105)^{\frac{365.25}{31}} - 1 \approx 2.2427 \rightarrow 224.27\%$$</t>
  </si>
  <si>
    <t>inf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</si>
</sst>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9" fontId="0" fillId="0" borderId="0" xfId="1" applyFont="1"/>
    <xf numFmtId="169" fontId="1" fillId="0" borderId="0" xfId="0" applyNumberFormat="1" applyFont="1"/>
    <xf numFmtId="169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zoomScale="160" zoomScaleNormal="160" workbookViewId="0">
      <selection activeCell="B4" sqref="B4"/>
    </sheetView>
  </sheetViews>
  <sheetFormatPr defaultRowHeight="14.6" x14ac:dyDescent="0.4"/>
  <cols>
    <col min="1" max="1" width="15.3828125" bestFit="1" customWidth="1"/>
    <col min="2" max="2" width="13.4609375" bestFit="1" customWidth="1"/>
  </cols>
  <sheetData>
    <row r="1" spans="1:2" x14ac:dyDescent="0.4">
      <c r="A1" s="1" t="s">
        <v>0</v>
      </c>
      <c r="B1" s="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4</v>
      </c>
      <c r="B3" s="2">
        <v>45658</v>
      </c>
    </row>
    <row r="4" spans="1:2" x14ac:dyDescent="0.4">
      <c r="A4" t="s">
        <v>5</v>
      </c>
      <c r="B4" s="2">
        <v>45689</v>
      </c>
    </row>
    <row r="5" spans="1:2" x14ac:dyDescent="0.4">
      <c r="A5" t="s">
        <v>6</v>
      </c>
      <c r="B5" t="s">
        <v>14</v>
      </c>
    </row>
    <row r="6" spans="1:2" x14ac:dyDescent="0.4">
      <c r="A6" t="s">
        <v>7</v>
      </c>
      <c r="B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DA01E-A3C8-43F7-BE2B-2D20BB66CB4A}">
  <dimension ref="A1:D3"/>
  <sheetViews>
    <sheetView zoomScale="175" zoomScaleNormal="175" workbookViewId="0">
      <selection activeCell="D3" sqref="D3"/>
    </sheetView>
  </sheetViews>
  <sheetFormatPr defaultRowHeight="14.6" x14ac:dyDescent="0.4"/>
  <sheetData>
    <row r="1" spans="1:4" x14ac:dyDescent="0.4">
      <c r="A1" s="1" t="s">
        <v>9</v>
      </c>
      <c r="B1" s="1" t="s">
        <v>18</v>
      </c>
      <c r="C1" s="1" t="s">
        <v>19</v>
      </c>
      <c r="D1" s="1" t="s">
        <v>20</v>
      </c>
    </row>
    <row r="2" spans="1:4" x14ac:dyDescent="0.4">
      <c r="A2" t="s">
        <v>10</v>
      </c>
      <c r="B2" s="3">
        <v>1</v>
      </c>
      <c r="D2" s="3">
        <v>0.5</v>
      </c>
    </row>
    <row r="3" spans="1:4" x14ac:dyDescent="0.4">
      <c r="A3" t="s">
        <v>11</v>
      </c>
      <c r="B3" s="3"/>
      <c r="C3" s="3">
        <v>1</v>
      </c>
      <c r="D3" s="3">
        <v>0.5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71D88-DDEC-4A65-8905-A99CA73725FC}">
  <dimension ref="A1:D3"/>
  <sheetViews>
    <sheetView zoomScale="175" zoomScaleNormal="175" workbookViewId="0">
      <selection activeCell="D1" sqref="D1"/>
    </sheetView>
  </sheetViews>
  <sheetFormatPr defaultRowHeight="14.6" x14ac:dyDescent="0.4"/>
  <cols>
    <col min="2" max="2" width="14.921875" bestFit="1" customWidth="1"/>
  </cols>
  <sheetData>
    <row r="1" spans="1:4" x14ac:dyDescent="0.4">
      <c r="A1" s="1" t="s">
        <v>9</v>
      </c>
      <c r="B1" s="1" t="s">
        <v>0</v>
      </c>
      <c r="C1" s="1" t="s">
        <v>15</v>
      </c>
      <c r="D1" s="1" t="s">
        <v>16</v>
      </c>
    </row>
    <row r="2" spans="1:4" x14ac:dyDescent="0.4">
      <c r="A2" t="s">
        <v>10</v>
      </c>
      <c r="B2" t="s">
        <v>12</v>
      </c>
      <c r="C2" t="s">
        <v>3</v>
      </c>
    </row>
    <row r="3" spans="1:4" x14ac:dyDescent="0.4">
      <c r="A3" t="s">
        <v>11</v>
      </c>
      <c r="B3" t="s">
        <v>13</v>
      </c>
      <c r="C3" t="s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42483-BB80-4E18-92F0-22F7848078C4}">
  <dimension ref="A1:C33"/>
  <sheetViews>
    <sheetView topLeftCell="A22" zoomScale="190" zoomScaleNormal="190" workbookViewId="0">
      <selection sqref="A1:C33"/>
    </sheetView>
  </sheetViews>
  <sheetFormatPr defaultRowHeight="14.6" x14ac:dyDescent="0.4"/>
  <cols>
    <col min="1" max="1" width="10.07421875" bestFit="1" customWidth="1"/>
  </cols>
  <sheetData>
    <row r="1" spans="1:3" x14ac:dyDescent="0.4">
      <c r="A1" s="1" t="s">
        <v>17</v>
      </c>
      <c r="B1" s="1" t="s">
        <v>10</v>
      </c>
      <c r="C1" s="1" t="s">
        <v>11</v>
      </c>
    </row>
    <row r="2" spans="1:3" x14ac:dyDescent="0.4">
      <c r="A2" s="2">
        <v>45658</v>
      </c>
      <c r="B2">
        <v>100</v>
      </c>
      <c r="C2">
        <v>100</v>
      </c>
    </row>
    <row r="3" spans="1:3" x14ac:dyDescent="0.4">
      <c r="A3" s="2">
        <v>45659</v>
      </c>
      <c r="B3">
        <v>101</v>
      </c>
      <c r="C3">
        <v>90</v>
      </c>
    </row>
    <row r="4" spans="1:3" x14ac:dyDescent="0.4">
      <c r="A4" s="2">
        <v>45660</v>
      </c>
      <c r="B4">
        <v>102</v>
      </c>
      <c r="C4">
        <v>100</v>
      </c>
    </row>
    <row r="5" spans="1:3" x14ac:dyDescent="0.4">
      <c r="A5" s="2">
        <v>45661</v>
      </c>
      <c r="B5">
        <v>103</v>
      </c>
      <c r="C5">
        <v>90</v>
      </c>
    </row>
    <row r="6" spans="1:3" x14ac:dyDescent="0.4">
      <c r="A6" s="2">
        <v>45662</v>
      </c>
      <c r="B6">
        <v>104</v>
      </c>
      <c r="C6">
        <v>100</v>
      </c>
    </row>
    <row r="7" spans="1:3" x14ac:dyDescent="0.4">
      <c r="A7" s="2">
        <v>45663</v>
      </c>
      <c r="B7">
        <v>105</v>
      </c>
      <c r="C7">
        <v>90</v>
      </c>
    </row>
    <row r="8" spans="1:3" x14ac:dyDescent="0.4">
      <c r="A8" s="2">
        <v>45664</v>
      </c>
      <c r="B8">
        <v>106</v>
      </c>
      <c r="C8">
        <v>100</v>
      </c>
    </row>
    <row r="9" spans="1:3" x14ac:dyDescent="0.4">
      <c r="A9" s="2">
        <v>45665</v>
      </c>
      <c r="B9">
        <v>107</v>
      </c>
      <c r="C9">
        <v>90</v>
      </c>
    </row>
    <row r="10" spans="1:3" x14ac:dyDescent="0.4">
      <c r="A10" s="2">
        <v>45666</v>
      </c>
      <c r="B10">
        <v>108</v>
      </c>
      <c r="C10">
        <v>100</v>
      </c>
    </row>
    <row r="11" spans="1:3" x14ac:dyDescent="0.4">
      <c r="A11" s="2">
        <v>45667</v>
      </c>
      <c r="B11">
        <v>109</v>
      </c>
      <c r="C11">
        <v>90</v>
      </c>
    </row>
    <row r="12" spans="1:3" x14ac:dyDescent="0.4">
      <c r="A12" s="2">
        <v>45668</v>
      </c>
      <c r="B12">
        <v>110</v>
      </c>
      <c r="C12">
        <v>100</v>
      </c>
    </row>
    <row r="13" spans="1:3" x14ac:dyDescent="0.4">
      <c r="A13" s="2">
        <v>45669</v>
      </c>
      <c r="B13">
        <v>111</v>
      </c>
      <c r="C13">
        <v>90</v>
      </c>
    </row>
    <row r="14" spans="1:3" x14ac:dyDescent="0.4">
      <c r="A14" s="2">
        <v>45670</v>
      </c>
      <c r="B14">
        <v>112</v>
      </c>
      <c r="C14">
        <v>100</v>
      </c>
    </row>
    <row r="15" spans="1:3" x14ac:dyDescent="0.4">
      <c r="A15" s="2">
        <v>45671</v>
      </c>
      <c r="B15">
        <v>113</v>
      </c>
      <c r="C15">
        <v>90</v>
      </c>
    </row>
    <row r="16" spans="1:3" x14ac:dyDescent="0.4">
      <c r="A16" s="2">
        <v>45672</v>
      </c>
      <c r="B16">
        <v>114</v>
      </c>
      <c r="C16">
        <v>100</v>
      </c>
    </row>
    <row r="17" spans="1:3" x14ac:dyDescent="0.4">
      <c r="A17" s="2">
        <v>45673</v>
      </c>
      <c r="B17">
        <v>115</v>
      </c>
      <c r="C17">
        <v>90</v>
      </c>
    </row>
    <row r="18" spans="1:3" x14ac:dyDescent="0.4">
      <c r="A18" s="2">
        <v>45674</v>
      </c>
      <c r="B18">
        <v>116</v>
      </c>
      <c r="C18">
        <v>100</v>
      </c>
    </row>
    <row r="19" spans="1:3" x14ac:dyDescent="0.4">
      <c r="A19" s="2">
        <v>45675</v>
      </c>
      <c r="B19">
        <v>117</v>
      </c>
      <c r="C19">
        <v>90</v>
      </c>
    </row>
    <row r="20" spans="1:3" x14ac:dyDescent="0.4">
      <c r="A20" s="2">
        <v>45676</v>
      </c>
      <c r="B20">
        <v>118</v>
      </c>
      <c r="C20">
        <v>100</v>
      </c>
    </row>
    <row r="21" spans="1:3" x14ac:dyDescent="0.4">
      <c r="A21" s="2">
        <v>45677</v>
      </c>
      <c r="B21">
        <v>119</v>
      </c>
      <c r="C21">
        <v>90</v>
      </c>
    </row>
    <row r="22" spans="1:3" x14ac:dyDescent="0.4">
      <c r="A22" s="2">
        <v>45678</v>
      </c>
      <c r="B22">
        <v>120</v>
      </c>
      <c r="C22">
        <v>100</v>
      </c>
    </row>
    <row r="23" spans="1:3" x14ac:dyDescent="0.4">
      <c r="A23" s="2">
        <v>45679</v>
      </c>
      <c r="B23">
        <v>121</v>
      </c>
      <c r="C23">
        <v>90</v>
      </c>
    </row>
    <row r="24" spans="1:3" x14ac:dyDescent="0.4">
      <c r="A24" s="2">
        <v>45680</v>
      </c>
      <c r="B24">
        <v>122</v>
      </c>
      <c r="C24">
        <v>100</v>
      </c>
    </row>
    <row r="25" spans="1:3" x14ac:dyDescent="0.4">
      <c r="A25" s="2">
        <v>45681</v>
      </c>
      <c r="B25">
        <v>123</v>
      </c>
      <c r="C25">
        <v>90</v>
      </c>
    </row>
    <row r="26" spans="1:3" x14ac:dyDescent="0.4">
      <c r="A26" s="2">
        <v>45682</v>
      </c>
      <c r="B26">
        <v>124</v>
      </c>
      <c r="C26">
        <v>100</v>
      </c>
    </row>
    <row r="27" spans="1:3" x14ac:dyDescent="0.4">
      <c r="A27" s="2">
        <v>45683</v>
      </c>
      <c r="B27">
        <v>125</v>
      </c>
      <c r="C27">
        <v>90</v>
      </c>
    </row>
    <row r="28" spans="1:3" x14ac:dyDescent="0.4">
      <c r="A28" s="2">
        <v>45684</v>
      </c>
      <c r="B28">
        <v>126</v>
      </c>
      <c r="C28">
        <v>100</v>
      </c>
    </row>
    <row r="29" spans="1:3" x14ac:dyDescent="0.4">
      <c r="A29" s="2">
        <v>45685</v>
      </c>
      <c r="B29">
        <v>127</v>
      </c>
      <c r="C29">
        <v>90</v>
      </c>
    </row>
    <row r="30" spans="1:3" x14ac:dyDescent="0.4">
      <c r="A30" s="2">
        <v>45686</v>
      </c>
      <c r="B30">
        <v>128</v>
      </c>
      <c r="C30">
        <v>100</v>
      </c>
    </row>
    <row r="31" spans="1:3" x14ac:dyDescent="0.4">
      <c r="A31" s="2">
        <v>45687</v>
      </c>
      <c r="B31">
        <v>129</v>
      </c>
      <c r="C31">
        <v>90</v>
      </c>
    </row>
    <row r="32" spans="1:3" x14ac:dyDescent="0.4">
      <c r="A32" s="2">
        <v>45688</v>
      </c>
      <c r="B32">
        <v>130</v>
      </c>
      <c r="C32">
        <v>100</v>
      </c>
    </row>
    <row r="33" spans="1:3" x14ac:dyDescent="0.4">
      <c r="A33" s="2">
        <v>45689</v>
      </c>
      <c r="B33">
        <v>131</v>
      </c>
      <c r="C33">
        <v>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E8070-11EC-4D5B-882F-63D06BDC939E}">
  <dimension ref="A1:D33"/>
  <sheetViews>
    <sheetView zoomScale="205" zoomScaleNormal="205" workbookViewId="0">
      <selection activeCell="F10" sqref="F10"/>
    </sheetView>
  </sheetViews>
  <sheetFormatPr defaultRowHeight="14.6" x14ac:dyDescent="0.4"/>
  <cols>
    <col min="1" max="1" width="10.07421875" bestFit="1" customWidth="1"/>
    <col min="2" max="4" width="9.23046875" style="8"/>
  </cols>
  <sheetData>
    <row r="1" spans="1:4" x14ac:dyDescent="0.4">
      <c r="A1" s="1" t="s">
        <v>17</v>
      </c>
      <c r="B1" s="7" t="s">
        <v>18</v>
      </c>
      <c r="C1" s="7" t="s">
        <v>19</v>
      </c>
      <c r="D1" s="7" t="s">
        <v>20</v>
      </c>
    </row>
    <row r="2" spans="1:4" x14ac:dyDescent="0.4">
      <c r="A2" s="2">
        <v>45658</v>
      </c>
      <c r="B2" s="8">
        <v>1</v>
      </c>
      <c r="C2" s="8">
        <v>1</v>
      </c>
      <c r="D2" s="8">
        <v>1</v>
      </c>
    </row>
    <row r="3" spans="1:4" x14ac:dyDescent="0.4">
      <c r="A3" s="2">
        <v>45659</v>
      </c>
      <c r="B3" s="8">
        <v>1.01</v>
      </c>
      <c r="C3" s="8">
        <v>0.9</v>
      </c>
      <c r="D3" s="8">
        <v>0.95499999999999996</v>
      </c>
    </row>
    <row r="4" spans="1:4" x14ac:dyDescent="0.4">
      <c r="A4" s="2">
        <v>45660</v>
      </c>
      <c r="B4" s="8">
        <v>1.02</v>
      </c>
      <c r="C4" s="8">
        <v>1</v>
      </c>
      <c r="D4" s="8">
        <v>1.01</v>
      </c>
    </row>
    <row r="5" spans="1:4" x14ac:dyDescent="0.4">
      <c r="A5" s="2">
        <v>45661</v>
      </c>
      <c r="B5" s="8">
        <v>1.03</v>
      </c>
      <c r="C5" s="8">
        <v>0.9</v>
      </c>
      <c r="D5" s="8">
        <v>0.96499999999999997</v>
      </c>
    </row>
    <row r="6" spans="1:4" x14ac:dyDescent="0.4">
      <c r="A6" s="2">
        <v>45662</v>
      </c>
      <c r="B6" s="8">
        <v>1.04</v>
      </c>
      <c r="C6" s="8">
        <v>1</v>
      </c>
      <c r="D6" s="8">
        <v>1.02</v>
      </c>
    </row>
    <row r="7" spans="1:4" x14ac:dyDescent="0.4">
      <c r="A7" s="2">
        <v>45663</v>
      </c>
      <c r="B7" s="8">
        <v>1.05</v>
      </c>
      <c r="C7" s="8">
        <v>0.9</v>
      </c>
      <c r="D7" s="8">
        <v>0.97499999999999998</v>
      </c>
    </row>
    <row r="8" spans="1:4" x14ac:dyDescent="0.4">
      <c r="A8" s="2">
        <v>45664</v>
      </c>
      <c r="B8" s="8">
        <v>1.06</v>
      </c>
      <c r="C8" s="8">
        <v>1</v>
      </c>
      <c r="D8" s="8">
        <v>1.03</v>
      </c>
    </row>
    <row r="9" spans="1:4" x14ac:dyDescent="0.4">
      <c r="A9" s="2">
        <v>45665</v>
      </c>
      <c r="B9" s="8">
        <v>1.07</v>
      </c>
      <c r="C9" s="8">
        <v>0.9</v>
      </c>
      <c r="D9" s="8">
        <v>0.98499999999999999</v>
      </c>
    </row>
    <row r="10" spans="1:4" x14ac:dyDescent="0.4">
      <c r="A10" s="2">
        <v>45666</v>
      </c>
      <c r="B10" s="8">
        <v>1.08</v>
      </c>
      <c r="C10" s="8">
        <v>1</v>
      </c>
      <c r="D10" s="8">
        <v>1.04</v>
      </c>
    </row>
    <row r="11" spans="1:4" x14ac:dyDescent="0.4">
      <c r="A11" s="2">
        <v>45667</v>
      </c>
      <c r="B11" s="8">
        <v>1.0900000000000001</v>
      </c>
      <c r="C11" s="8">
        <v>0.9</v>
      </c>
      <c r="D11" s="8">
        <v>0.995</v>
      </c>
    </row>
    <row r="12" spans="1:4" x14ac:dyDescent="0.4">
      <c r="A12" s="2">
        <v>45668</v>
      </c>
      <c r="B12" s="8">
        <v>1.1000000000000001</v>
      </c>
      <c r="C12" s="8">
        <v>1</v>
      </c>
      <c r="D12" s="8">
        <v>1.05</v>
      </c>
    </row>
    <row r="13" spans="1:4" x14ac:dyDescent="0.4">
      <c r="A13" s="2">
        <v>45669</v>
      </c>
      <c r="B13" s="8">
        <v>1.1100000000000001</v>
      </c>
      <c r="C13" s="8">
        <v>0.9</v>
      </c>
      <c r="D13" s="8">
        <v>1.0049999999999999</v>
      </c>
    </row>
    <row r="14" spans="1:4" x14ac:dyDescent="0.4">
      <c r="A14" s="2">
        <v>45670</v>
      </c>
      <c r="B14" s="8">
        <v>1.1200000000000001</v>
      </c>
      <c r="C14" s="8">
        <v>1</v>
      </c>
      <c r="D14" s="8">
        <v>1.06</v>
      </c>
    </row>
    <row r="15" spans="1:4" x14ac:dyDescent="0.4">
      <c r="A15" s="2">
        <v>45671</v>
      </c>
      <c r="B15" s="8">
        <v>1.1299999999999999</v>
      </c>
      <c r="C15" s="8">
        <v>0.9</v>
      </c>
      <c r="D15" s="8">
        <v>1.0149999999999999</v>
      </c>
    </row>
    <row r="16" spans="1:4" x14ac:dyDescent="0.4">
      <c r="A16" s="2">
        <v>45672</v>
      </c>
      <c r="B16" s="8">
        <v>1.1399999999999999</v>
      </c>
      <c r="C16" s="8">
        <v>1</v>
      </c>
      <c r="D16" s="8">
        <v>1.07</v>
      </c>
    </row>
    <row r="17" spans="1:4" x14ac:dyDescent="0.4">
      <c r="A17" s="2">
        <v>45673</v>
      </c>
      <c r="B17" s="8">
        <v>1.1499999999999999</v>
      </c>
      <c r="C17" s="8">
        <v>0.9</v>
      </c>
      <c r="D17" s="8">
        <v>1.0249999999999999</v>
      </c>
    </row>
    <row r="18" spans="1:4" x14ac:dyDescent="0.4">
      <c r="A18" s="2">
        <v>45674</v>
      </c>
      <c r="B18" s="8">
        <v>1.1599999999999999</v>
      </c>
      <c r="C18" s="8">
        <v>1</v>
      </c>
      <c r="D18" s="8">
        <v>1.08</v>
      </c>
    </row>
    <row r="19" spans="1:4" x14ac:dyDescent="0.4">
      <c r="A19" s="2">
        <v>45675</v>
      </c>
      <c r="B19" s="8">
        <v>1.17</v>
      </c>
      <c r="C19" s="8">
        <v>0.9</v>
      </c>
      <c r="D19" s="8">
        <v>1.0349999999999999</v>
      </c>
    </row>
    <row r="20" spans="1:4" x14ac:dyDescent="0.4">
      <c r="A20" s="2">
        <v>45676</v>
      </c>
      <c r="B20" s="8">
        <v>1.18</v>
      </c>
      <c r="C20" s="8">
        <v>1</v>
      </c>
      <c r="D20" s="8">
        <v>1.0900000000000001</v>
      </c>
    </row>
    <row r="21" spans="1:4" x14ac:dyDescent="0.4">
      <c r="A21" s="2">
        <v>45677</v>
      </c>
      <c r="B21" s="8">
        <v>1.19</v>
      </c>
      <c r="C21" s="8">
        <v>0.9</v>
      </c>
      <c r="D21" s="8">
        <v>1.0449999999999999</v>
      </c>
    </row>
    <row r="22" spans="1:4" x14ac:dyDescent="0.4">
      <c r="A22" s="2">
        <v>45678</v>
      </c>
      <c r="B22" s="8">
        <v>1.2</v>
      </c>
      <c r="C22" s="8">
        <v>1</v>
      </c>
      <c r="D22" s="8">
        <v>1.1000000000000001</v>
      </c>
    </row>
    <row r="23" spans="1:4" x14ac:dyDescent="0.4">
      <c r="A23" s="2">
        <v>45679</v>
      </c>
      <c r="B23" s="8">
        <v>1.21</v>
      </c>
      <c r="C23" s="8">
        <v>0.9</v>
      </c>
      <c r="D23" s="8">
        <v>1.0549999999999999</v>
      </c>
    </row>
    <row r="24" spans="1:4" x14ac:dyDescent="0.4">
      <c r="A24" s="2">
        <v>45680</v>
      </c>
      <c r="B24" s="8">
        <v>1.22</v>
      </c>
      <c r="C24" s="8">
        <v>1</v>
      </c>
      <c r="D24" s="8">
        <v>1.1100000000000001</v>
      </c>
    </row>
    <row r="25" spans="1:4" x14ac:dyDescent="0.4">
      <c r="A25" s="2">
        <v>45681</v>
      </c>
      <c r="B25" s="8">
        <v>1.23</v>
      </c>
      <c r="C25" s="8">
        <v>0.9</v>
      </c>
      <c r="D25" s="8">
        <v>1.0649999999999999</v>
      </c>
    </row>
    <row r="26" spans="1:4" x14ac:dyDescent="0.4">
      <c r="A26" s="2">
        <v>45682</v>
      </c>
      <c r="B26" s="8">
        <v>1.24</v>
      </c>
      <c r="C26" s="8">
        <v>1</v>
      </c>
      <c r="D26" s="8">
        <v>1.1200000000000001</v>
      </c>
    </row>
    <row r="27" spans="1:4" x14ac:dyDescent="0.4">
      <c r="A27" s="2">
        <v>45683</v>
      </c>
      <c r="B27" s="8">
        <v>1.25</v>
      </c>
      <c r="C27" s="8">
        <v>0.9</v>
      </c>
      <c r="D27" s="8">
        <v>1.075</v>
      </c>
    </row>
    <row r="28" spans="1:4" x14ac:dyDescent="0.4">
      <c r="A28" s="2">
        <v>45684</v>
      </c>
      <c r="B28" s="8">
        <v>1.26</v>
      </c>
      <c r="C28" s="8">
        <v>1</v>
      </c>
      <c r="D28" s="8">
        <v>1.1299999999999999</v>
      </c>
    </row>
    <row r="29" spans="1:4" x14ac:dyDescent="0.4">
      <c r="A29" s="2">
        <v>45685</v>
      </c>
      <c r="B29" s="8">
        <v>1.27</v>
      </c>
      <c r="C29" s="8">
        <v>0.9</v>
      </c>
      <c r="D29" s="8">
        <v>1.085</v>
      </c>
    </row>
    <row r="30" spans="1:4" x14ac:dyDescent="0.4">
      <c r="A30" s="2">
        <v>45686</v>
      </c>
      <c r="B30" s="8">
        <v>1.28</v>
      </c>
      <c r="C30" s="8">
        <v>1</v>
      </c>
      <c r="D30" s="8">
        <v>1.1399999999999999</v>
      </c>
    </row>
    <row r="31" spans="1:4" x14ac:dyDescent="0.4">
      <c r="A31" s="2">
        <v>45687</v>
      </c>
      <c r="B31" s="8">
        <v>1.29</v>
      </c>
      <c r="C31" s="8">
        <v>0.9</v>
      </c>
      <c r="D31" s="8">
        <v>1.095</v>
      </c>
    </row>
    <row r="32" spans="1:4" x14ac:dyDescent="0.4">
      <c r="A32" s="2">
        <v>45688</v>
      </c>
      <c r="B32" s="8">
        <v>1.3</v>
      </c>
      <c r="C32" s="8">
        <v>1</v>
      </c>
      <c r="D32" s="8">
        <v>1.1499999999999999</v>
      </c>
    </row>
    <row r="33" spans="1:4" x14ac:dyDescent="0.4">
      <c r="A33" s="2">
        <v>45689</v>
      </c>
      <c r="B33" s="8">
        <v>1.31</v>
      </c>
      <c r="C33" s="8">
        <v>0.9</v>
      </c>
      <c r="D33" s="8">
        <v>1.105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A1201-9593-4FA8-BE4A-D6543E3F5A5B}">
  <dimension ref="A1:E34"/>
  <sheetViews>
    <sheetView zoomScale="190" zoomScaleNormal="190" workbookViewId="0">
      <selection activeCell="F11" sqref="F11"/>
    </sheetView>
  </sheetViews>
  <sheetFormatPr defaultRowHeight="14.6" x14ac:dyDescent="0.4"/>
  <cols>
    <col min="1" max="1" width="10.07421875" bestFit="1" customWidth="1"/>
  </cols>
  <sheetData>
    <row r="1" spans="1:5" x14ac:dyDescent="0.4">
      <c r="A1" s="1" t="s">
        <v>22</v>
      </c>
      <c r="B1" s="4" t="s">
        <v>18</v>
      </c>
      <c r="C1" s="1" t="s">
        <v>19</v>
      </c>
      <c r="D1" s="4" t="s">
        <v>20</v>
      </c>
      <c r="E1" s="4" t="s">
        <v>20</v>
      </c>
    </row>
    <row r="2" spans="1:5" x14ac:dyDescent="0.4">
      <c r="A2" s="1" t="s">
        <v>21</v>
      </c>
      <c r="B2" s="4" t="s">
        <v>10</v>
      </c>
      <c r="C2" s="1" t="s">
        <v>11</v>
      </c>
      <c r="D2" s="4" t="s">
        <v>10</v>
      </c>
      <c r="E2" s="4" t="s">
        <v>11</v>
      </c>
    </row>
    <row r="3" spans="1:5" x14ac:dyDescent="0.4">
      <c r="A3" s="2">
        <v>45658</v>
      </c>
      <c r="B3" s="6">
        <v>1</v>
      </c>
      <c r="C3" s="6">
        <v>1</v>
      </c>
      <c r="D3" s="3">
        <v>0.5</v>
      </c>
      <c r="E3" s="3">
        <v>0.5</v>
      </c>
    </row>
    <row r="4" spans="1:5" x14ac:dyDescent="0.4">
      <c r="A4" s="2">
        <v>45659</v>
      </c>
      <c r="B4" s="6">
        <v>1</v>
      </c>
      <c r="C4" s="6">
        <v>1</v>
      </c>
      <c r="D4" s="3">
        <v>0.5</v>
      </c>
      <c r="E4" s="3">
        <v>0.5</v>
      </c>
    </row>
    <row r="5" spans="1:5" x14ac:dyDescent="0.4">
      <c r="A5" s="2">
        <v>45660</v>
      </c>
      <c r="B5" s="6">
        <v>1</v>
      </c>
      <c r="C5" s="6">
        <v>1</v>
      </c>
      <c r="D5" s="3">
        <f>(D4 * (Prices!$B3/Prices!$B2)) / ((D4 * (Prices!$B3/Prices!$B2)) + (E4 * (Prices!$C3/Prices!$C2)))</f>
        <v>0.52879581151832455</v>
      </c>
      <c r="E5" s="3">
        <f>(E4 * (Prices!$C3/Prices!$C2)) / ((D4 * (Prices!$B3/Prices!$B2)) + (E4 * (Prices!$C3/Prices!$C2)))</f>
        <v>0.47120418848167539</v>
      </c>
    </row>
    <row r="6" spans="1:5" x14ac:dyDescent="0.4">
      <c r="A6" s="2">
        <v>45661</v>
      </c>
      <c r="B6" s="6">
        <v>1</v>
      </c>
      <c r="C6" s="6">
        <v>1</v>
      </c>
      <c r="D6" s="3">
        <f>(D5 * (Prices!$B4/Prices!$B3)) / ((D5 * (Prices!$B4/Prices!$B3)) + (E5 * (Prices!$C4/Prices!$C3)))</f>
        <v>0.50495049504950495</v>
      </c>
      <c r="E6" s="3">
        <f>(E5 * (Prices!$C4/Prices!$C3)) / ((D5 * (Prices!$B4/Prices!$B3)) + (E5 * (Prices!$C4/Prices!$C3)))</f>
        <v>0.4950495049504951</v>
      </c>
    </row>
    <row r="7" spans="1:5" x14ac:dyDescent="0.4">
      <c r="A7" s="2">
        <v>45662</v>
      </c>
      <c r="B7" s="6">
        <v>1</v>
      </c>
      <c r="C7" s="6">
        <v>1</v>
      </c>
      <c r="D7" s="3">
        <f>(D6 * (Prices!$B5/Prices!$B4)) / ((D6 * (Prices!$B5/Prices!$B4)) + (E6 * (Prices!$C5/Prices!$C4)))</f>
        <v>0.53367875647668395</v>
      </c>
      <c r="E7" s="3">
        <f>(E6 * (Prices!$C5/Prices!$C4)) / ((D6 * (Prices!$B5/Prices!$B4)) + (E6 * (Prices!$C5/Prices!$C4)))</f>
        <v>0.46632124352331611</v>
      </c>
    </row>
    <row r="8" spans="1:5" x14ac:dyDescent="0.4">
      <c r="A8" s="2">
        <v>45663</v>
      </c>
      <c r="B8" s="6">
        <v>1</v>
      </c>
      <c r="C8" s="6">
        <v>1</v>
      </c>
      <c r="D8" s="3">
        <f>(D7 * (Prices!$B6/Prices!$B5)) / ((D7 * (Prices!$B6/Prices!$B5)) + (E7 * (Prices!$C6/Prices!$C5)))</f>
        <v>0.50980392156862742</v>
      </c>
      <c r="E8" s="3">
        <f>(E7 * (Prices!$C6/Prices!$C5)) / ((D7 * (Prices!$B6/Prices!$B5)) + (E7 * (Prices!$C6/Prices!$C5)))</f>
        <v>0.49019607843137253</v>
      </c>
    </row>
    <row r="9" spans="1:5" x14ac:dyDescent="0.4">
      <c r="A9" s="2">
        <v>45664</v>
      </c>
      <c r="B9" s="6">
        <v>1</v>
      </c>
      <c r="C9" s="6">
        <v>1</v>
      </c>
      <c r="D9" s="3">
        <f>(D8 * (Prices!$B7/Prices!$B6)) / ((D8 * (Prices!$B7/Prices!$B6)) + (E8 * (Prices!$C7/Prices!$C6)))</f>
        <v>0.53846153846153844</v>
      </c>
      <c r="E9" s="3">
        <f>(E8 * (Prices!$C7/Prices!$C6)) / ((D8 * (Prices!$B7/Prices!$B6)) + (E8 * (Prices!$C7/Prices!$C6)))</f>
        <v>0.46153846153846156</v>
      </c>
    </row>
    <row r="10" spans="1:5" x14ac:dyDescent="0.4">
      <c r="A10" s="2">
        <v>45665</v>
      </c>
      <c r="B10" s="6">
        <v>1</v>
      </c>
      <c r="C10" s="6">
        <v>1</v>
      </c>
      <c r="D10" s="3">
        <f>(D9 * (Prices!$B8/Prices!$B7)) / ((D9 * (Prices!$B8/Prices!$B7)) + (E9 * (Prices!$C8/Prices!$C7)))</f>
        <v>0.5145631067961165</v>
      </c>
      <c r="E10" s="3">
        <f>(E9 * (Prices!$C8/Prices!$C7)) / ((D9 * (Prices!$B8/Prices!$B7)) + (E9 * (Prices!$C8/Prices!$C7)))</f>
        <v>0.48543689320388356</v>
      </c>
    </row>
    <row r="11" spans="1:5" x14ac:dyDescent="0.4">
      <c r="A11" s="2">
        <v>45666</v>
      </c>
      <c r="B11" s="6">
        <v>1</v>
      </c>
      <c r="C11" s="6">
        <v>1</v>
      </c>
      <c r="D11" s="3">
        <f>(D10 * (Prices!$B9/Prices!$B8)) / ((D10 * (Prices!$B9/Prices!$B8)) + (E10 * (Prices!$C9/Prices!$C8)))</f>
        <v>0.54314720812182737</v>
      </c>
      <c r="E11" s="3">
        <f>(E10 * (Prices!$C9/Prices!$C8)) / ((D10 * (Prices!$B9/Prices!$B8)) + (E10 * (Prices!$C9/Prices!$C8)))</f>
        <v>0.45685279187817257</v>
      </c>
    </row>
    <row r="12" spans="1:5" x14ac:dyDescent="0.4">
      <c r="A12" s="2">
        <v>45667</v>
      </c>
      <c r="B12" s="6">
        <v>1</v>
      </c>
      <c r="C12" s="6">
        <v>1</v>
      </c>
      <c r="D12" s="3">
        <f>(D11 * (Prices!$B10/Prices!$B9)) / ((D11 * (Prices!$B10/Prices!$B9)) + (E11 * (Prices!$C10/Prices!$C9)))</f>
        <v>0.51923076923076916</v>
      </c>
      <c r="E12" s="3">
        <f>(E11 * (Prices!$C10/Prices!$C9)) / ((D11 * (Prices!$B10/Prices!$B9)) + (E11 * (Prices!$C10/Prices!$C9)))</f>
        <v>0.48076923076923084</v>
      </c>
    </row>
    <row r="13" spans="1:5" x14ac:dyDescent="0.4">
      <c r="A13" s="2">
        <v>45668</v>
      </c>
      <c r="B13" s="6">
        <v>1</v>
      </c>
      <c r="C13" s="6">
        <v>1</v>
      </c>
      <c r="D13" s="3">
        <f>(D12 * (Prices!$B11/Prices!$B10)) / ((D12 * (Prices!$B11/Prices!$B10)) + (E12 * (Prices!$C11/Prices!$C10)))</f>
        <v>0.54773869346733661</v>
      </c>
      <c r="E13" s="3">
        <f>(E12 * (Prices!$C11/Prices!$C10)) / ((D12 * (Prices!$B11/Prices!$B10)) + (E12 * (Prices!$C11/Prices!$C10)))</f>
        <v>0.45226130653266344</v>
      </c>
    </row>
    <row r="14" spans="1:5" x14ac:dyDescent="0.4">
      <c r="A14" s="2">
        <v>45669</v>
      </c>
      <c r="B14" s="6">
        <v>1</v>
      </c>
      <c r="C14" s="6">
        <v>1</v>
      </c>
      <c r="D14" s="3">
        <f>(D13 * (Prices!$B12/Prices!$B11)) / ((D13 * (Prices!$B12/Prices!$B11)) + (E13 * (Prices!$C12/Prices!$C11)))</f>
        <v>0.52380952380952372</v>
      </c>
      <c r="E14" s="3">
        <f>(E13 * (Prices!$C12/Prices!$C11)) / ((D13 * (Prices!$B12/Prices!$B11)) + (E13 * (Prices!$C12/Prices!$C11)))</f>
        <v>0.47619047619047628</v>
      </c>
    </row>
    <row r="15" spans="1:5" x14ac:dyDescent="0.4">
      <c r="A15" s="2">
        <v>45670</v>
      </c>
      <c r="B15" s="6">
        <v>1</v>
      </c>
      <c r="C15" s="6">
        <v>1</v>
      </c>
      <c r="D15" s="3">
        <f>(D14 * (Prices!$B13/Prices!$B12)) / ((D14 * (Prices!$B13/Prices!$B12)) + (E14 * (Prices!$C13/Prices!$C12)))</f>
        <v>0.55223880597014918</v>
      </c>
      <c r="E15" s="3">
        <f>(E14 * (Prices!$C13/Prices!$C12)) / ((D14 * (Prices!$B13/Prices!$B12)) + (E14 * (Prices!$C13/Prices!$C12)))</f>
        <v>0.44776119402985087</v>
      </c>
    </row>
    <row r="16" spans="1:5" x14ac:dyDescent="0.4">
      <c r="A16" s="2">
        <v>45671</v>
      </c>
      <c r="B16" s="6">
        <v>1</v>
      </c>
      <c r="C16" s="6">
        <v>1</v>
      </c>
      <c r="D16" s="3">
        <f>(D15 * (Prices!$B14/Prices!$B13)) / ((D15 * (Prices!$B14/Prices!$B13)) + (E15 * (Prices!$C14/Prices!$C13)))</f>
        <v>0.52830188679245271</v>
      </c>
      <c r="E16" s="3">
        <f>(E15 * (Prices!$C14/Prices!$C13)) / ((D15 * (Prices!$B14/Prices!$B13)) + (E15 * (Prices!$C14/Prices!$C13)))</f>
        <v>0.47169811320754729</v>
      </c>
    </row>
    <row r="17" spans="1:5" x14ac:dyDescent="0.4">
      <c r="A17" s="2">
        <v>45672</v>
      </c>
      <c r="B17" s="6">
        <v>1</v>
      </c>
      <c r="C17" s="6">
        <v>1</v>
      </c>
      <c r="D17" s="3">
        <f>(D16 * (Prices!$B15/Prices!$B14)) / ((D16 * (Prices!$B15/Prices!$B14)) + (E16 * (Prices!$C15/Prices!$C14)))</f>
        <v>0.55665024630541859</v>
      </c>
      <c r="E17" s="3">
        <f>(E16 * (Prices!$C15/Prices!$C14)) / ((D16 * (Prices!$B15/Prices!$B14)) + (E16 * (Prices!$C15/Prices!$C14)))</f>
        <v>0.44334975369458146</v>
      </c>
    </row>
    <row r="18" spans="1:5" x14ac:dyDescent="0.4">
      <c r="A18" s="2">
        <v>45673</v>
      </c>
      <c r="B18" s="6">
        <v>1</v>
      </c>
      <c r="C18" s="6">
        <v>1</v>
      </c>
      <c r="D18" s="3">
        <f>(D17 * (Prices!$B16/Prices!$B15)) / ((D17 * (Prices!$B16/Prices!$B15)) + (E17 * (Prices!$C16/Prices!$C15)))</f>
        <v>0.53271028037383161</v>
      </c>
      <c r="E18" s="3">
        <f>(E17 * (Prices!$C16/Prices!$C15)) / ((D17 * (Prices!$B16/Prices!$B15)) + (E17 * (Prices!$C16/Prices!$C15)))</f>
        <v>0.46728971962616844</v>
      </c>
    </row>
    <row r="19" spans="1:5" x14ac:dyDescent="0.4">
      <c r="A19" s="2">
        <v>45674</v>
      </c>
      <c r="B19" s="6">
        <v>1</v>
      </c>
      <c r="C19" s="6">
        <v>1</v>
      </c>
      <c r="D19" s="3">
        <f>(D18 * (Prices!$B17/Prices!$B16)) / ((D18 * (Prices!$B17/Prices!$B16)) + (E18 * (Prices!$C17/Prices!$C16)))</f>
        <v>0.56097560975609739</v>
      </c>
      <c r="E19" s="3">
        <f>(E18 * (Prices!$C17/Prices!$C16)) / ((D18 * (Prices!$B17/Prices!$B16)) + (E18 * (Prices!$C17/Prices!$C16)))</f>
        <v>0.43902439024390261</v>
      </c>
    </row>
    <row r="20" spans="1:5" x14ac:dyDescent="0.4">
      <c r="A20" s="2">
        <v>45675</v>
      </c>
      <c r="B20" s="6">
        <v>1</v>
      </c>
      <c r="C20" s="6">
        <v>1</v>
      </c>
      <c r="D20" s="3">
        <f>(D19 * (Prices!$B18/Prices!$B17)) / ((D19 * (Prices!$B18/Prices!$B17)) + (E19 * (Prices!$C18/Prices!$C17)))</f>
        <v>0.53703703703703687</v>
      </c>
      <c r="E20" s="3">
        <f>(E19 * (Prices!$C18/Prices!$C17)) / ((D19 * (Prices!$B18/Prices!$B17)) + (E19 * (Prices!$C18/Prices!$C17)))</f>
        <v>0.46296296296296313</v>
      </c>
    </row>
    <row r="21" spans="1:5" x14ac:dyDescent="0.4">
      <c r="A21" s="2">
        <v>45676</v>
      </c>
      <c r="B21" s="6">
        <v>1</v>
      </c>
      <c r="C21" s="6">
        <v>1</v>
      </c>
      <c r="D21" s="3">
        <f>(D20 * (Prices!$B19/Prices!$B18)) / ((D20 * (Prices!$B19/Prices!$B18)) + (E20 * (Prices!$C19/Prices!$C18)))</f>
        <v>0.56521739130434767</v>
      </c>
      <c r="E21" s="3">
        <f>(E20 * (Prices!$C19/Prices!$C18)) / ((D20 * (Prices!$B19/Prices!$B18)) + (E20 * (Prices!$C19/Prices!$C18)))</f>
        <v>0.43478260869565233</v>
      </c>
    </row>
    <row r="22" spans="1:5" x14ac:dyDescent="0.4">
      <c r="A22" s="2">
        <v>45677</v>
      </c>
      <c r="B22" s="6">
        <v>1</v>
      </c>
      <c r="C22" s="6">
        <v>1</v>
      </c>
      <c r="D22" s="3">
        <f>(D21 * (Prices!$B20/Prices!$B19)) / ((D21 * (Prices!$B20/Prices!$B19)) + (E21 * (Prices!$C20/Prices!$C19)))</f>
        <v>0.54128440366972463</v>
      </c>
      <c r="E22" s="3">
        <f>(E21 * (Prices!$C20/Prices!$C19)) / ((D21 * (Prices!$B20/Prices!$B19)) + (E21 * (Prices!$C20/Prices!$C19)))</f>
        <v>0.45871559633027542</v>
      </c>
    </row>
    <row r="23" spans="1:5" x14ac:dyDescent="0.4">
      <c r="A23" s="2">
        <v>45678</v>
      </c>
      <c r="B23" s="6">
        <v>1</v>
      </c>
      <c r="C23" s="6">
        <v>1</v>
      </c>
      <c r="D23" s="3">
        <f>(D22 * (Prices!$B21/Prices!$B20)) / ((D22 * (Prices!$B21/Prices!$B20)) + (E22 * (Prices!$C21/Prices!$C20)))</f>
        <v>0.56937799043062187</v>
      </c>
      <c r="E23" s="3">
        <f>(E22 * (Prices!$C21/Prices!$C20)) / ((D22 * (Prices!$B21/Prices!$B20)) + (E22 * (Prices!$C21/Prices!$C20)))</f>
        <v>0.43062200956937818</v>
      </c>
    </row>
    <row r="24" spans="1:5" x14ac:dyDescent="0.4">
      <c r="A24" s="2">
        <v>45679</v>
      </c>
      <c r="B24" s="6">
        <v>1</v>
      </c>
      <c r="C24" s="6">
        <v>1</v>
      </c>
      <c r="D24" s="3">
        <f>(D23 * (Prices!$B22/Prices!$B21)) / ((D23 * (Prices!$B22/Prices!$B21)) + (E23 * (Prices!$C22/Prices!$C21)))</f>
        <v>0.5454545454545453</v>
      </c>
      <c r="E24" s="3">
        <f>(E23 * (Prices!$C22/Prices!$C21)) / ((D23 * (Prices!$B22/Prices!$B21)) + (E23 * (Prices!$C22/Prices!$C21)))</f>
        <v>0.4545454545454547</v>
      </c>
    </row>
    <row r="25" spans="1:5" x14ac:dyDescent="0.4">
      <c r="A25" s="2">
        <v>45680</v>
      </c>
      <c r="B25" s="6">
        <v>1</v>
      </c>
      <c r="C25" s="6">
        <v>1</v>
      </c>
      <c r="D25" s="3">
        <f>(D24 * (Prices!$B23/Prices!$B22)) / ((D24 * (Prices!$B23/Prices!$B22)) + (E24 * (Prices!$C23/Prices!$C22)))</f>
        <v>0.57345971563981035</v>
      </c>
      <c r="E25" s="3">
        <f>(E24 * (Prices!$C23/Prices!$C22)) / ((D24 * (Prices!$B23/Prices!$B22)) + (E24 * (Prices!$C23/Prices!$C22)))</f>
        <v>0.42654028436018976</v>
      </c>
    </row>
    <row r="26" spans="1:5" x14ac:dyDescent="0.4">
      <c r="A26" s="2">
        <v>45681</v>
      </c>
      <c r="B26" s="6">
        <v>1</v>
      </c>
      <c r="C26" s="6">
        <v>1</v>
      </c>
      <c r="D26" s="3">
        <f>(D25 * (Prices!$B24/Prices!$B23)) / ((D25 * (Prices!$B24/Prices!$B23)) + (E25 * (Prices!$C24/Prices!$C23)))</f>
        <v>0.54954954954954938</v>
      </c>
      <c r="E26" s="3">
        <f>(E25 * (Prices!$C24/Prices!$C23)) / ((D25 * (Prices!$B24/Prices!$B23)) + (E25 * (Prices!$C24/Prices!$C23)))</f>
        <v>0.45045045045045068</v>
      </c>
    </row>
    <row r="27" spans="1:5" x14ac:dyDescent="0.4">
      <c r="A27" s="2">
        <v>45682</v>
      </c>
      <c r="B27" s="6">
        <v>1</v>
      </c>
      <c r="C27" s="6">
        <v>1</v>
      </c>
      <c r="D27" s="3">
        <f>(D26 * (Prices!$B25/Prices!$B24)) / ((D26 * (Prices!$B25/Prices!$B24)) + (E26 * (Prices!$C25/Prices!$C24)))</f>
        <v>0.57746478873239415</v>
      </c>
      <c r="E27" s="3">
        <f>(E26 * (Prices!$C25/Prices!$C24)) / ((D26 * (Prices!$B25/Prices!$B24)) + (E26 * (Prices!$C25/Prices!$C24)))</f>
        <v>0.42253521126760585</v>
      </c>
    </row>
    <row r="28" spans="1:5" x14ac:dyDescent="0.4">
      <c r="A28" s="2">
        <v>45683</v>
      </c>
      <c r="B28" s="6">
        <v>1</v>
      </c>
      <c r="C28" s="6">
        <v>1</v>
      </c>
      <c r="D28" s="3">
        <f>(D27 * (Prices!$B26/Prices!$B25)) / ((D27 * (Prices!$B26/Prices!$B25)) + (E27 * (Prices!$C26/Prices!$C25)))</f>
        <v>0.55357142857142827</v>
      </c>
      <c r="E28" s="3">
        <f>(E27 * (Prices!$C26/Prices!$C25)) / ((D27 * (Prices!$B26/Prices!$B25)) + (E27 * (Prices!$C26/Prices!$C25)))</f>
        <v>0.44642857142857167</v>
      </c>
    </row>
    <row r="29" spans="1:5" x14ac:dyDescent="0.4">
      <c r="A29" s="2">
        <v>45684</v>
      </c>
      <c r="B29" s="6">
        <v>1</v>
      </c>
      <c r="C29" s="6">
        <v>1</v>
      </c>
      <c r="D29" s="3">
        <f>(D28 * (Prices!$B27/Prices!$B26)) / ((D28 * (Prices!$B27/Prices!$B26)) + (E28 * (Prices!$C27/Prices!$C26)))</f>
        <v>0.581395348837209</v>
      </c>
      <c r="E29" s="3">
        <f>(E28 * (Prices!$C27/Prices!$C26)) / ((D28 * (Prices!$B27/Prices!$B26)) + (E28 * (Prices!$C27/Prices!$C26)))</f>
        <v>0.418604651162791</v>
      </c>
    </row>
    <row r="30" spans="1:5" x14ac:dyDescent="0.4">
      <c r="A30" s="2">
        <v>45685</v>
      </c>
      <c r="B30" s="6">
        <v>1</v>
      </c>
      <c r="C30" s="6">
        <v>1</v>
      </c>
      <c r="D30" s="3">
        <f>(D29 * (Prices!$B28/Prices!$B27)) / ((D29 * (Prices!$B28/Prices!$B27)) + (E29 * (Prices!$C28/Prices!$C27)))</f>
        <v>0.55752212389380507</v>
      </c>
      <c r="E30" s="3">
        <f>(E29 * (Prices!$C28/Prices!$C27)) / ((D29 * (Prices!$B28/Prices!$B27)) + (E29 * (Prices!$C28/Prices!$C27)))</f>
        <v>0.44247787610619504</v>
      </c>
    </row>
    <row r="31" spans="1:5" x14ac:dyDescent="0.4">
      <c r="A31" s="2">
        <v>45686</v>
      </c>
      <c r="B31" s="6">
        <v>1</v>
      </c>
      <c r="C31" s="6">
        <v>1</v>
      </c>
      <c r="D31" s="3">
        <f>(D30 * (Prices!$B29/Prices!$B28)) / ((D30 * (Prices!$B29/Prices!$B28)) + (E30 * (Prices!$C29/Prices!$C28)))</f>
        <v>0.58525345622119784</v>
      </c>
      <c r="E31" s="3">
        <f>(E30 * (Prices!$C29/Prices!$C28)) / ((D30 * (Prices!$B29/Prices!$B28)) + (E30 * (Prices!$C29/Prices!$C28)))</f>
        <v>0.41474654377880216</v>
      </c>
    </row>
    <row r="32" spans="1:5" x14ac:dyDescent="0.4">
      <c r="A32" s="2">
        <v>45687</v>
      </c>
      <c r="B32" s="6">
        <v>1</v>
      </c>
      <c r="C32" s="6">
        <v>1</v>
      </c>
      <c r="D32" s="3">
        <f>(D31 * (Prices!$B30/Prices!$B29)) / ((D31 * (Prices!$B30/Prices!$B29)) + (E31 * (Prices!$C30/Prices!$C29)))</f>
        <v>0.56140350877192946</v>
      </c>
      <c r="E32" s="3">
        <f>(E31 * (Prices!$C30/Prices!$C29)) / ((D31 * (Prices!$B30/Prices!$B29)) + (E31 * (Prices!$C30/Prices!$C29)))</f>
        <v>0.43859649122807048</v>
      </c>
    </row>
    <row r="33" spans="1:5" x14ac:dyDescent="0.4">
      <c r="A33" s="2">
        <v>45688</v>
      </c>
      <c r="B33" s="6">
        <v>1</v>
      </c>
      <c r="C33" s="6">
        <v>1</v>
      </c>
      <c r="D33" s="3">
        <f>(D32 * (Prices!$B31/Prices!$B30)) / ((D32 * (Prices!$B31/Prices!$B30)) + (E32 * (Prices!$C31/Prices!$C30)))</f>
        <v>0.58904109589041065</v>
      </c>
      <c r="E33" s="3">
        <f>(E32 * (Prices!$C31/Prices!$C30)) / ((D32 * (Prices!$B31/Prices!$B30)) + (E32 * (Prices!$C31/Prices!$C30)))</f>
        <v>0.41095890410958935</v>
      </c>
    </row>
    <row r="34" spans="1:5" x14ac:dyDescent="0.4">
      <c r="A34" s="2">
        <v>45689</v>
      </c>
      <c r="B34" s="6">
        <v>1</v>
      </c>
      <c r="C34" s="6">
        <v>1</v>
      </c>
      <c r="D34" s="3">
        <f>(D33 * (Prices!$B32/Prices!$B31)) / ((D33 * (Prices!$B32/Prices!$B31)) + (E33 * (Prices!$C32/Prices!$C31)))</f>
        <v>0.56521739130434756</v>
      </c>
      <c r="E34" s="3">
        <f>(E33 * (Prices!$C32/Prices!$C31)) / ((D33 * (Prices!$B32/Prices!$B31)) + (E33 * (Prices!$C32/Prices!$C31)))</f>
        <v>0.43478260869565249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C66B4-691D-4E6C-9B58-26BA46864B57}">
  <dimension ref="A1:N4"/>
  <sheetViews>
    <sheetView tabSelected="1" zoomScale="205" zoomScaleNormal="205" workbookViewId="0">
      <selection activeCell="L4" sqref="L4"/>
    </sheetView>
  </sheetViews>
  <sheetFormatPr defaultRowHeight="14.6" x14ac:dyDescent="0.4"/>
  <cols>
    <col min="1" max="1" width="8.07421875" bestFit="1" customWidth="1"/>
    <col min="2" max="3" width="10.07421875" bestFit="1" customWidth="1"/>
    <col min="4" max="4" width="8.53515625" bestFit="1" customWidth="1"/>
    <col min="5" max="5" width="7.61328125" bestFit="1" customWidth="1"/>
    <col min="6" max="6" width="13.23046875" style="5" bestFit="1" customWidth="1"/>
    <col min="7" max="7" width="7.53515625" style="5" bestFit="1" customWidth="1"/>
    <col min="8" max="8" width="10.15234375" style="5" bestFit="1" customWidth="1"/>
    <col min="9" max="9" width="6.61328125" style="5" bestFit="1" customWidth="1"/>
    <col min="10" max="10" width="6.84375" bestFit="1" customWidth="1"/>
    <col min="11" max="11" width="16.07421875" style="5" bestFit="1" customWidth="1"/>
    <col min="12" max="12" width="15.4609375" style="5" bestFit="1" customWidth="1"/>
    <col min="13" max="13" width="20.07421875" bestFit="1" customWidth="1"/>
  </cols>
  <sheetData>
    <row r="1" spans="1:14" x14ac:dyDescent="0.4">
      <c r="A1" s="1"/>
      <c r="B1" s="1" t="s">
        <v>23</v>
      </c>
      <c r="C1" s="1" t="s">
        <v>24</v>
      </c>
      <c r="D1" s="1" t="s">
        <v>25</v>
      </c>
      <c r="E1" s="1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1" t="s">
        <v>31</v>
      </c>
      <c r="K1" s="4" t="s">
        <v>32</v>
      </c>
      <c r="L1" s="4" t="s">
        <v>33</v>
      </c>
      <c r="M1" s="1" t="s">
        <v>34</v>
      </c>
      <c r="N1" s="1"/>
    </row>
    <row r="2" spans="1:14" x14ac:dyDescent="0.4">
      <c r="A2" t="s">
        <v>18</v>
      </c>
      <c r="B2" s="2">
        <v>45658</v>
      </c>
      <c r="C2" s="2">
        <v>45689</v>
      </c>
      <c r="D2" t="s">
        <v>39</v>
      </c>
      <c r="E2" t="s">
        <v>37</v>
      </c>
      <c r="F2" s="5">
        <v>31</v>
      </c>
      <c r="G2" s="5">
        <v>2308.36</v>
      </c>
      <c r="H2" s="5">
        <v>2.67</v>
      </c>
      <c r="I2" s="5">
        <v>79.53</v>
      </c>
      <c r="J2" t="s">
        <v>46</v>
      </c>
      <c r="K2" s="5">
        <v>0</v>
      </c>
      <c r="L2" s="5">
        <v>0</v>
      </c>
      <c r="M2" t="s">
        <v>35</v>
      </c>
    </row>
    <row r="3" spans="1:14" x14ac:dyDescent="0.4">
      <c r="A3" t="s">
        <v>19</v>
      </c>
      <c r="B3" s="2">
        <v>45658</v>
      </c>
      <c r="C3" s="2">
        <v>45689</v>
      </c>
      <c r="D3" t="s">
        <v>39</v>
      </c>
      <c r="E3" t="s">
        <v>37</v>
      </c>
      <c r="F3" s="5">
        <v>-10</v>
      </c>
      <c r="G3" s="5">
        <v>-71.099999999999994</v>
      </c>
      <c r="H3" s="5">
        <v>167.17</v>
      </c>
      <c r="I3" s="5">
        <v>0.31</v>
      </c>
      <c r="J3">
        <v>0.47</v>
      </c>
      <c r="K3" s="5">
        <v>-10</v>
      </c>
      <c r="L3" s="5">
        <v>-10</v>
      </c>
      <c r="M3" t="s">
        <v>36</v>
      </c>
    </row>
    <row r="4" spans="1:14" x14ac:dyDescent="0.4">
      <c r="A4" t="s">
        <v>20</v>
      </c>
      <c r="B4" s="2">
        <v>45658</v>
      </c>
      <c r="C4" s="2">
        <v>45689</v>
      </c>
      <c r="D4" t="s">
        <v>39</v>
      </c>
      <c r="E4" t="s">
        <v>37</v>
      </c>
      <c r="F4" s="5">
        <v>10.5</v>
      </c>
      <c r="G4" s="5">
        <v>224.27</v>
      </c>
      <c r="H4" s="5">
        <v>75.599999999999994</v>
      </c>
      <c r="I4" s="5">
        <v>1.4</v>
      </c>
      <c r="J4">
        <v>2.2599999999999998</v>
      </c>
      <c r="K4" s="5">
        <v>-4.5</v>
      </c>
      <c r="L4" s="5">
        <v>-4.17</v>
      </c>
      <c r="M4" t="s">
        <v>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D26B0-871D-42C0-9F7F-1E045EDA585A}">
  <dimension ref="A1:A9"/>
  <sheetViews>
    <sheetView workbookViewId="0">
      <selection activeCell="A9" sqref="A9"/>
    </sheetView>
  </sheetViews>
  <sheetFormatPr defaultRowHeight="14.6" x14ac:dyDescent="0.4"/>
  <cols>
    <col min="1" max="1" width="68.84375" bestFit="1" customWidth="1"/>
  </cols>
  <sheetData>
    <row r="1" spans="1:1" x14ac:dyDescent="0.4">
      <c r="A1" t="s">
        <v>41</v>
      </c>
    </row>
    <row r="3" spans="1:1" x14ac:dyDescent="0.4">
      <c r="A3" t="s">
        <v>40</v>
      </c>
    </row>
    <row r="4" spans="1:1" x14ac:dyDescent="0.4">
      <c r="A4" t="s">
        <v>42</v>
      </c>
    </row>
    <row r="6" spans="1:1" x14ac:dyDescent="0.4">
      <c r="A6" t="s">
        <v>43</v>
      </c>
    </row>
    <row r="7" spans="1:1" x14ac:dyDescent="0.4">
      <c r="A7" t="s">
        <v>44</v>
      </c>
    </row>
    <row r="9" spans="1:1" x14ac:dyDescent="0.4">
      <c r="A9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Portfolios</vt:lpstr>
      <vt:lpstr>Assets</vt:lpstr>
      <vt:lpstr>Prices</vt:lpstr>
      <vt:lpstr>Expected_Values</vt:lpstr>
      <vt:lpstr>Expected_Weights</vt:lpstr>
      <vt:lpstr>Expected_Stats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Kello</dc:creator>
  <cp:lastModifiedBy>Jonas Kello</cp:lastModifiedBy>
  <dcterms:created xsi:type="dcterms:W3CDTF">2015-06-05T18:17:20Z</dcterms:created>
  <dcterms:modified xsi:type="dcterms:W3CDTF">2026-04-22T06:58:14Z</dcterms:modified>
</cp:coreProperties>
</file>