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code\github\jonaskello\portfolio-notebooks\public\example\"/>
    </mc:Choice>
  </mc:AlternateContent>
  <xr:revisionPtr revIDLastSave="0" documentId="13_ncr:1_{F6A59207-AAA4-4372-B9EF-54C5930D68C5}" xr6:coauthVersionLast="47" xr6:coauthVersionMax="47" xr10:uidLastSave="{00000000-0000-0000-0000-000000000000}"/>
  <bookViews>
    <workbookView xWindow="-103" yWindow="-103" windowWidth="33120" windowHeight="18000" activeTab="2" xr2:uid="{CCF5A8C1-6092-4788-A05D-B6B1EAFAA601}"/>
  </bookViews>
  <sheets>
    <sheet name="Parameters" sheetId="8" r:id="rId1"/>
    <sheet name="Main" sheetId="4" r:id="rId2"/>
    <sheet name="Prices" sheetId="15" r:id="rId3"/>
  </sheets>
  <definedNames>
    <definedName name="EndDate">Parameters!$B$9</definedName>
    <definedName name="StartDate">Parameters!$B$8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4" l="1" a="1"/>
  <c r="B25" i="4" s="1"/>
  <c r="C25" i="4" a="1"/>
  <c r="C25" i="4" s="1"/>
  <c r="E25" i="4" a="1"/>
  <c r="E25" i="4" s="1"/>
  <c r="K25" i="4" a="1"/>
  <c r="K25" i="4" s="1"/>
  <c r="C35" i="4" a="1"/>
  <c r="C35" i="4" s="1"/>
  <c r="E35" i="4" a="1"/>
  <c r="E35" i="4" s="1"/>
  <c r="K35" i="4" a="1"/>
  <c r="K35" i="4" s="1"/>
  <c r="C21" i="4" a="1"/>
  <c r="C21" i="4" s="1"/>
  <c r="E21" i="4" a="1"/>
  <c r="E21" i="4" s="1"/>
  <c r="K21" i="4" a="1"/>
  <c r="K21" i="4" s="1"/>
  <c r="B55" i="4" a="1"/>
  <c r="B55" i="4" s="1"/>
  <c r="C55" i="4" a="1"/>
  <c r="C55" i="4" s="1"/>
  <c r="E55" i="4" a="1"/>
  <c r="E55" i="4" s="1"/>
  <c r="K55" i="4" a="1"/>
  <c r="K55" i="4" s="1"/>
  <c r="C34" i="4" a="1"/>
  <c r="C34" i="4" s="1"/>
  <c r="E34" i="4" a="1"/>
  <c r="E34" i="4" s="1"/>
  <c r="K34" i="4" a="1"/>
  <c r="K34" i="4" s="1"/>
  <c r="C16" i="4" a="1"/>
  <c r="C16" i="4" s="1"/>
  <c r="E16" i="4" a="1"/>
  <c r="E16" i="4" s="1"/>
  <c r="K16" i="4" a="1"/>
  <c r="K16" i="4" s="1"/>
  <c r="C31" i="4" a="1"/>
  <c r="C31" i="4" s="1"/>
  <c r="E31" i="4" a="1"/>
  <c r="E31" i="4" s="1"/>
  <c r="K31" i="4" a="1"/>
  <c r="K31" i="4" s="1"/>
  <c r="B39" i="4" a="1"/>
  <c r="B39" i="4" s="1"/>
  <c r="C39" i="4" a="1"/>
  <c r="C39" i="4" s="1"/>
  <c r="E39" i="4" a="1"/>
  <c r="E39" i="4" s="1"/>
  <c r="K39" i="4" a="1"/>
  <c r="K39" i="4" s="1"/>
  <c r="B38" i="4" a="1"/>
  <c r="B38" i="4" s="1"/>
  <c r="C38" i="4" a="1"/>
  <c r="C38" i="4" s="1"/>
  <c r="E38" i="4" a="1"/>
  <c r="E38" i="4" s="1"/>
  <c r="K38" i="4" a="1"/>
  <c r="K38" i="4" s="1"/>
  <c r="B17" i="4" a="1"/>
  <c r="B17" i="4" s="1"/>
  <c r="C17" i="4" a="1"/>
  <c r="C17" i="4" s="1"/>
  <c r="E17" i="4" a="1"/>
  <c r="E17" i="4" s="1"/>
  <c r="K17" i="4" a="1"/>
  <c r="K17" i="4" s="1"/>
  <c r="C20" i="4" a="1"/>
  <c r="C20" i="4" s="1"/>
  <c r="E20" i="4" a="1"/>
  <c r="E20" i="4" s="1"/>
  <c r="K20" i="4" a="1"/>
  <c r="K20" i="4" s="1"/>
  <c r="C52" i="4" a="1"/>
  <c r="C52" i="4" s="1"/>
  <c r="E52" i="4" a="1"/>
  <c r="E52" i="4" s="1"/>
  <c r="K52" i="4" a="1"/>
  <c r="K52" i="4" s="1"/>
  <c r="C6" i="4" a="1"/>
  <c r="C6" i="4" s="1"/>
  <c r="E6" i="4" a="1"/>
  <c r="E6" i="4" s="1"/>
  <c r="K6" i="4" a="1"/>
  <c r="K6" i="4" s="1"/>
  <c r="B3" i="4" a="1"/>
  <c r="B3" i="4" s="1"/>
  <c r="C3" i="4" a="1"/>
  <c r="C3" i="4" s="1"/>
  <c r="E3" i="4" a="1"/>
  <c r="E3" i="4" s="1"/>
  <c r="K3" i="4" a="1"/>
  <c r="K3" i="4" s="1"/>
  <c r="B28" i="4" l="1" a="1"/>
  <c r="B28" i="4" s="1"/>
  <c r="C28" i="4" a="1"/>
  <c r="C28" i="4" s="1"/>
  <c r="E28" i="4" a="1"/>
  <c r="E28" i="4" s="1"/>
  <c r="K28" i="4" a="1"/>
  <c r="K28" i="4" s="1"/>
  <c r="B24" i="4" a="1"/>
  <c r="B24" i="4" s="1"/>
  <c r="C24" i="4" a="1"/>
  <c r="C24" i="4" s="1"/>
  <c r="E24" i="4" a="1"/>
  <c r="E24" i="4" s="1"/>
  <c r="K24" i="4" a="1"/>
  <c r="K24" i="4" s="1"/>
  <c r="B47" i="4" l="1" a="1"/>
  <c r="B47" i="4" s="1"/>
  <c r="C47" i="4" a="1"/>
  <c r="C47" i="4" s="1"/>
  <c r="K47" i="4" a="1"/>
  <c r="K47" i="4" s="1"/>
  <c r="C7" i="4" a="1"/>
  <c r="C7" i="4" s="1"/>
  <c r="E7" i="4" a="1"/>
  <c r="E7" i="4" s="1"/>
  <c r="K7" i="4" a="1"/>
  <c r="K7" i="4" s="1"/>
  <c r="C4" i="4" l="1" a="1"/>
  <c r="C4" i="4" s="1"/>
  <c r="E4" i="4" a="1"/>
  <c r="E4" i="4" s="1"/>
  <c r="K4" i="4" a="1"/>
  <c r="K4" i="4" s="1"/>
  <c r="K9" i="4" a="1"/>
  <c r="K9" i="4" s="1"/>
  <c r="K10" i="4" a="1"/>
  <c r="K10" i="4" s="1"/>
  <c r="K11" i="4" a="1"/>
  <c r="K11" i="4" s="1"/>
  <c r="K19" i="4" a="1"/>
  <c r="K19" i="4" s="1"/>
  <c r="K13" i="4" a="1"/>
  <c r="K13" i="4" s="1"/>
  <c r="K14" i="4" a="1"/>
  <c r="K14" i="4" s="1"/>
  <c r="K15" i="4" a="1"/>
  <c r="K15" i="4" s="1"/>
  <c r="K33" i="4" a="1"/>
  <c r="K33" i="4" s="1"/>
  <c r="K30" i="4" a="1"/>
  <c r="K30" i="4" s="1"/>
  <c r="K23" i="4" a="1"/>
  <c r="K23" i="4" s="1"/>
  <c r="K27" i="4" a="1"/>
  <c r="K27" i="4" s="1"/>
  <c r="K37" i="4" a="1"/>
  <c r="K37" i="4" s="1"/>
  <c r="K41" i="4" a="1"/>
  <c r="K41" i="4" s="1"/>
  <c r="K42" i="4" a="1"/>
  <c r="K42" i="4" s="1"/>
  <c r="K44" i="4" a="1"/>
  <c r="K44" i="4" s="1"/>
  <c r="K45" i="4" a="1"/>
  <c r="K45" i="4" s="1"/>
  <c r="K46" i="4" a="1"/>
  <c r="K46" i="4" s="1"/>
  <c r="K57" i="4" a="1"/>
  <c r="K57" i="4" s="1"/>
  <c r="K49" i="4" a="1"/>
  <c r="K49" i="4" s="1"/>
  <c r="K51" i="4" a="1"/>
  <c r="K51" i="4" s="1"/>
  <c r="K54" i="4" a="1"/>
  <c r="K54" i="4" s="1"/>
  <c r="E42" i="4" l="1" a="1"/>
  <c r="E42" i="4" s="1"/>
  <c r="E46" i="4" a="1"/>
  <c r="E46" i="4" s="1"/>
  <c r="E49" i="4" a="1"/>
  <c r="E49" i="4" s="1"/>
  <c r="E54" i="4" a="1"/>
  <c r="E54" i="4" s="1"/>
  <c r="E23" i="4" a="1"/>
  <c r="E23" i="4" s="1"/>
  <c r="E27" i="4" a="1"/>
  <c r="E27" i="4" s="1"/>
  <c r="E37" i="4" a="1"/>
  <c r="E37" i="4" s="1"/>
  <c r="E41" i="4" a="1"/>
  <c r="E41" i="4" s="1"/>
  <c r="E9" i="4" a="1"/>
  <c r="E9" i="4" s="1"/>
  <c r="E10" i="4" a="1"/>
  <c r="E10" i="4" s="1"/>
  <c r="E11" i="4" a="1"/>
  <c r="E11" i="4" s="1"/>
  <c r="E19" i="4" a="1"/>
  <c r="E19" i="4" s="1"/>
  <c r="E13" i="4" a="1"/>
  <c r="E13" i="4" s="1"/>
  <c r="E14" i="4" a="1"/>
  <c r="E14" i="4" s="1"/>
  <c r="E15" i="4" a="1"/>
  <c r="E15" i="4" s="1"/>
  <c r="E33" i="4" a="1"/>
  <c r="E33" i="4" s="1"/>
  <c r="E30" i="4" a="1"/>
  <c r="E30" i="4" s="1"/>
  <c r="B45" i="4" a="1"/>
  <c r="B45" i="4" s="1"/>
  <c r="B46" i="4" a="1"/>
  <c r="B46" i="4" s="1"/>
  <c r="B57" i="4" a="1"/>
  <c r="B57" i="4" s="1"/>
  <c r="B54" i="4" a="1"/>
  <c r="B54" i="4" s="1"/>
  <c r="B23" i="4" a="1"/>
  <c r="B23" i="4" s="1"/>
  <c r="B27" i="4" a="1"/>
  <c r="B27" i="4" s="1"/>
  <c r="B37" i="4" a="1"/>
  <c r="B37" i="4" s="1"/>
  <c r="B44" i="4" a="1"/>
  <c r="B44" i="4" s="1"/>
  <c r="B19" i="4" a="1"/>
  <c r="B19" i="4" s="1"/>
  <c r="B13" i="4" a="1"/>
  <c r="B13" i="4" s="1"/>
  <c r="B9" i="4" a="1"/>
  <c r="B9" i="4" s="1"/>
  <c r="C51" i="4" a="1"/>
  <c r="C51" i="4" s="1"/>
  <c r="C54" i="4" a="1"/>
  <c r="C54" i="4" s="1"/>
  <c r="C57" i="4" a="1"/>
  <c r="C57" i="4" s="1"/>
  <c r="C49" i="4" a="1"/>
  <c r="C49" i="4" s="1"/>
  <c r="C44" i="4" a="1"/>
  <c r="C44" i="4" s="1"/>
  <c r="C45" i="4" a="1"/>
  <c r="C45" i="4" s="1"/>
  <c r="C46" i="4" a="1"/>
  <c r="C46" i="4" s="1"/>
  <c r="C41" i="4" a="1"/>
  <c r="C41" i="4" s="1"/>
  <c r="C42" i="4" a="1"/>
  <c r="C42" i="4" s="1"/>
  <c r="C37" i="4" a="1"/>
  <c r="C37" i="4" s="1"/>
  <c r="C30" i="4" a="1"/>
  <c r="C30" i="4" s="1"/>
  <c r="C23" i="4" a="1"/>
  <c r="C23" i="4" s="1"/>
  <c r="C27" i="4" a="1"/>
  <c r="C27" i="4" s="1"/>
  <c r="C33" i="4" a="1"/>
  <c r="C33" i="4" s="1"/>
  <c r="C13" i="4" a="1"/>
  <c r="C13" i="4" s="1"/>
  <c r="C14" i="4" a="1"/>
  <c r="C14" i="4" s="1"/>
  <c r="C15" i="4" a="1"/>
  <c r="C15" i="4" s="1"/>
  <c r="C9" i="4" a="1"/>
  <c r="C9" i="4" s="1"/>
  <c r="C10" i="4" a="1"/>
  <c r="C10" i="4" s="1"/>
  <c r="C11" i="4" a="1"/>
  <c r="C11" i="4" s="1"/>
  <c r="C19" i="4" a="1"/>
  <c r="C19" i="4" s="1"/>
  <c r="A1" i="15" a="1"/>
  <c r="A1" i="15" l="1"/>
  <c r="H35" i="4" l="1" a="1"/>
  <c r="H35" i="4" s="1"/>
  <c r="I35" i="4" s="1"/>
  <c r="H25" i="4" a="1"/>
  <c r="H25" i="4" s="1"/>
  <c r="I25" i="4" s="1"/>
  <c r="H55" i="4" a="1"/>
  <c r="H55" i="4" s="1"/>
  <c r="I55" i="4" s="1"/>
  <c r="H21" i="4" a="1"/>
  <c r="H21" i="4" s="1"/>
  <c r="I21" i="4" s="1"/>
  <c r="H16" i="4" a="1"/>
  <c r="H16" i="4" s="1"/>
  <c r="I16" i="4" s="1"/>
  <c r="H34" i="4" a="1"/>
  <c r="H34" i="4" s="1"/>
  <c r="I34" i="4" s="1"/>
  <c r="H31" i="4" a="1"/>
  <c r="H31" i="4" s="1"/>
  <c r="I31" i="4" s="1"/>
  <c r="H38" i="4" a="1"/>
  <c r="H38" i="4" s="1"/>
  <c r="I38" i="4" s="1"/>
  <c r="H39" i="4" a="1"/>
  <c r="H39" i="4" s="1"/>
  <c r="I39" i="4" s="1"/>
  <c r="H57" i="4" a="1"/>
  <c r="H57" i="4" s="1"/>
  <c r="H15" i="4" a="1"/>
  <c r="H15" i="4" s="1"/>
  <c r="H4" i="4" a="1"/>
  <c r="H4" i="4" s="1"/>
  <c r="I4" i="4" s="1"/>
  <c r="H7" i="4" a="1"/>
  <c r="H7" i="4" s="1"/>
  <c r="I7" i="4" s="1"/>
  <c r="H9" i="4" a="1"/>
  <c r="H9" i="4" s="1"/>
  <c r="H3" i="4" a="1"/>
  <c r="H3" i="4" s="1"/>
  <c r="I3" i="4" s="1"/>
  <c r="H20" i="4" a="1"/>
  <c r="H20" i="4" s="1"/>
  <c r="I20" i="4" s="1"/>
  <c r="H10" i="4" a="1"/>
  <c r="H10" i="4" s="1"/>
  <c r="H49" i="4" a="1"/>
  <c r="H49" i="4" s="1"/>
  <c r="H33" i="4" a="1"/>
  <c r="H33" i="4" s="1"/>
  <c r="H23" i="4" a="1"/>
  <c r="H23" i="4" s="1"/>
  <c r="H37" i="4" a="1"/>
  <c r="H37" i="4" s="1"/>
  <c r="H41" i="4" a="1"/>
  <c r="H41" i="4" s="1"/>
  <c r="H45" i="4" a="1"/>
  <c r="H45" i="4" s="1"/>
  <c r="H24" i="4" a="1"/>
  <c r="H24" i="4" s="1"/>
  <c r="I24" i="4" s="1"/>
  <c r="H6" i="4" a="1"/>
  <c r="H6" i="4" s="1"/>
  <c r="I6" i="4" s="1"/>
  <c r="H52" i="4" a="1"/>
  <c r="H52" i="4" s="1"/>
  <c r="I52" i="4" s="1"/>
  <c r="H46" i="4" a="1"/>
  <c r="H46" i="4" s="1"/>
  <c r="H19" i="4" a="1"/>
  <c r="H19" i="4" s="1"/>
  <c r="H51" i="4" a="1"/>
  <c r="H51" i="4" s="1"/>
  <c r="H30" i="4" a="1"/>
  <c r="H30" i="4" s="1"/>
  <c r="H27" i="4" a="1"/>
  <c r="H27" i="4" s="1"/>
  <c r="H42" i="4" a="1"/>
  <c r="H42" i="4" s="1"/>
  <c r="H44" i="4" a="1"/>
  <c r="H44" i="4" s="1"/>
  <c r="H47" i="4" a="1"/>
  <c r="H47" i="4" s="1"/>
  <c r="I47" i="4" s="1"/>
  <c r="H28" i="4" a="1"/>
  <c r="H28" i="4" s="1"/>
  <c r="I28" i="4" s="1"/>
  <c r="H17" i="4" a="1"/>
  <c r="H17" i="4" s="1"/>
  <c r="I17" i="4" s="1"/>
  <c r="H11" i="4" a="1"/>
  <c r="H11" i="4" s="1"/>
  <c r="H14" i="4" a="1"/>
  <c r="H14" i="4" s="1"/>
  <c r="H54" i="4" a="1"/>
  <c r="H54" i="4" s="1"/>
  <c r="H13" i="4" a="1"/>
  <c r="H13" i="4" s="1"/>
  <c r="I10" i="4" l="1"/>
  <c r="I11" i="4"/>
  <c r="I14" i="4"/>
  <c r="I15" i="4"/>
  <c r="I33" i="4"/>
  <c r="I30" i="4"/>
  <c r="I41" i="4"/>
  <c r="I42" i="4"/>
  <c r="I49" i="4"/>
  <c r="I51" i="4"/>
  <c r="I13" i="4"/>
  <c r="I37" i="4"/>
  <c r="I54" i="4"/>
  <c r="I45" i="4"/>
  <c r="I44" i="4"/>
  <c r="I9" i="4"/>
  <c r="I19" i="4"/>
  <c r="I23" i="4"/>
  <c r="I57" i="4"/>
  <c r="I27" i="4"/>
  <c r="I46" i="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149">
    <bk>
      <extLst>
        <ext uri="{3e2802c4-a4d2-4d8b-9148-e3be6c30e623}">
          <xlrd:rvb i="1"/>
        </ext>
      </extLst>
    </bk>
    <bk>
      <extLst>
        <ext uri="{3e2802c4-a4d2-4d8b-9148-e3be6c30e623}">
          <xlrd:rvb i="4"/>
        </ext>
      </extLst>
    </bk>
    <bk>
      <extLst>
        <ext uri="{3e2802c4-a4d2-4d8b-9148-e3be6c30e623}">
          <xlrd:rvb i="7"/>
        </ext>
      </extLst>
    </bk>
    <bk>
      <extLst>
        <ext uri="{3e2802c4-a4d2-4d8b-9148-e3be6c30e623}">
          <xlrd:rvb i="10"/>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499"/>
        </ext>
      </extLst>
    </bk>
    <bk>
      <extLst>
        <ext uri="{3e2802c4-a4d2-4d8b-9148-e3be6c30e623}">
          <xlrd:rvb i="500"/>
        </ext>
      </extLst>
    </bk>
    <bk>
      <extLst>
        <ext uri="{3e2802c4-a4d2-4d8b-9148-e3be6c30e623}">
          <xlrd:rvb i="501"/>
        </ext>
      </extLst>
    </bk>
    <bk>
      <extLst>
        <ext uri="{3e2802c4-a4d2-4d8b-9148-e3be6c30e623}">
          <xlrd:rvb i="502"/>
        </ext>
      </extLst>
    </bk>
    <bk>
      <extLst>
        <ext uri="{3e2802c4-a4d2-4d8b-9148-e3be6c30e623}">
          <xlrd:rvb i="503"/>
        </ext>
      </extLst>
    </bk>
    <bk>
      <extLst>
        <ext uri="{3e2802c4-a4d2-4d8b-9148-e3be6c30e623}">
          <xlrd:rvb i="504"/>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2"/>
        </ext>
      </extLst>
    </bk>
    <bk>
      <extLst>
        <ext uri="{3e2802c4-a4d2-4d8b-9148-e3be6c30e623}">
          <xlrd:rvb i="733"/>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0"/>
        </ext>
      </extLst>
    </bk>
    <bk>
      <extLst>
        <ext uri="{3e2802c4-a4d2-4d8b-9148-e3be6c30e623}">
          <xlrd:rvb i="751"/>
        </ext>
      </extLst>
    </bk>
    <bk>
      <extLst>
        <ext uri="{3e2802c4-a4d2-4d8b-9148-e3be6c30e623}">
          <xlrd:rvb i="752"/>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2"/>
        </ext>
      </extLst>
    </bk>
    <bk>
      <extLst>
        <ext uri="{3e2802c4-a4d2-4d8b-9148-e3be6c30e623}">
          <xlrd:rvb i="973"/>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998"/>
        </ext>
      </extLst>
    </bk>
    <bk>
      <extLst>
        <ext uri="{3e2802c4-a4d2-4d8b-9148-e3be6c30e623}">
          <xlrd:rvb i="999"/>
        </ext>
      </extLst>
    </bk>
    <bk>
      <extLst>
        <ext uri="{3e2802c4-a4d2-4d8b-9148-e3be6c30e623}">
          <xlrd:rvb i="1000"/>
        </ext>
      </extLst>
    </bk>
    <bk>
      <extLst>
        <ext uri="{3e2802c4-a4d2-4d8b-9148-e3be6c30e623}">
          <xlrd:rvb i="1001"/>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4"/>
        </ext>
      </extLst>
    </bk>
    <bk>
      <extLst>
        <ext uri="{3e2802c4-a4d2-4d8b-9148-e3be6c30e623}">
          <xlrd:rvb i="1225"/>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3"/>
        </ext>
      </extLst>
    </bk>
    <bk>
      <extLst>
        <ext uri="{3e2802c4-a4d2-4d8b-9148-e3be6c30e623}">
          <xlrd:rvb i="1234"/>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0"/>
        </ext>
      </extLst>
    </bk>
    <bk>
      <extLst>
        <ext uri="{3e2802c4-a4d2-4d8b-9148-e3be6c30e623}">
          <xlrd:rvb i="1251"/>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1"/>
        </ext>
      </extLst>
    </bk>
    <bk>
      <extLst>
        <ext uri="{3e2802c4-a4d2-4d8b-9148-e3be6c30e623}">
          <xlrd:rvb i="1472"/>
        </ext>
      </extLst>
    </bk>
    <bk>
      <extLst>
        <ext uri="{3e2802c4-a4d2-4d8b-9148-e3be6c30e623}">
          <xlrd:rvb i="1473"/>
        </ext>
      </extLst>
    </bk>
    <bk>
      <extLst>
        <ext uri="{3e2802c4-a4d2-4d8b-9148-e3be6c30e623}">
          <xlrd:rvb i="1474"/>
        </ext>
      </extLst>
    </bk>
    <bk>
      <extLst>
        <ext uri="{3e2802c4-a4d2-4d8b-9148-e3be6c30e623}">
          <xlrd:rvb i="1475"/>
        </ext>
      </extLst>
    </bk>
    <bk>
      <extLst>
        <ext uri="{3e2802c4-a4d2-4d8b-9148-e3be6c30e623}">
          <xlrd:rvb i="1476"/>
        </ext>
      </extLst>
    </bk>
    <bk>
      <extLst>
        <ext uri="{3e2802c4-a4d2-4d8b-9148-e3be6c30e623}">
          <xlrd:rvb i="1477"/>
        </ext>
      </extLst>
    </bk>
    <bk>
      <extLst>
        <ext uri="{3e2802c4-a4d2-4d8b-9148-e3be6c30e623}">
          <xlrd:rvb i="1478"/>
        </ext>
      </extLst>
    </bk>
    <bk>
      <extLst>
        <ext uri="{3e2802c4-a4d2-4d8b-9148-e3be6c30e623}">
          <xlrd:rvb i="1479"/>
        </ext>
      </extLst>
    </bk>
    <bk>
      <extLst>
        <ext uri="{3e2802c4-a4d2-4d8b-9148-e3be6c30e623}">
          <xlrd:rvb i="1480"/>
        </ext>
      </extLst>
    </bk>
    <bk>
      <extLst>
        <ext uri="{3e2802c4-a4d2-4d8b-9148-e3be6c30e623}">
          <xlrd:rvb i="1481"/>
        </ext>
      </extLst>
    </bk>
    <bk>
      <extLst>
        <ext uri="{3e2802c4-a4d2-4d8b-9148-e3be6c30e623}">
          <xlrd:rvb i="1482"/>
        </ext>
      </extLst>
    </bk>
    <bk>
      <extLst>
        <ext uri="{3e2802c4-a4d2-4d8b-9148-e3be6c30e623}">
          <xlrd:rvb i="1483"/>
        </ext>
      </extLst>
    </bk>
    <bk>
      <extLst>
        <ext uri="{3e2802c4-a4d2-4d8b-9148-e3be6c30e623}">
          <xlrd:rvb i="1484"/>
        </ext>
      </extLst>
    </bk>
    <bk>
      <extLst>
        <ext uri="{3e2802c4-a4d2-4d8b-9148-e3be6c30e623}">
          <xlrd:rvb i="1485"/>
        </ext>
      </extLst>
    </bk>
    <bk>
      <extLst>
        <ext uri="{3e2802c4-a4d2-4d8b-9148-e3be6c30e623}">
          <xlrd:rvb i="1486"/>
        </ext>
      </extLst>
    </bk>
    <bk>
      <extLst>
        <ext uri="{3e2802c4-a4d2-4d8b-9148-e3be6c30e623}">
          <xlrd:rvb i="1487"/>
        </ext>
      </extLst>
    </bk>
    <bk>
      <extLst>
        <ext uri="{3e2802c4-a4d2-4d8b-9148-e3be6c30e623}">
          <xlrd:rvb i="1488"/>
        </ext>
      </extLst>
    </bk>
    <bk>
      <extLst>
        <ext uri="{3e2802c4-a4d2-4d8b-9148-e3be6c30e623}">
          <xlrd:rvb i="1489"/>
        </ext>
      </extLst>
    </bk>
    <bk>
      <extLst>
        <ext uri="{3e2802c4-a4d2-4d8b-9148-e3be6c30e623}">
          <xlrd:rvb i="1490"/>
        </ext>
      </extLst>
    </bk>
    <bk>
      <extLst>
        <ext uri="{3e2802c4-a4d2-4d8b-9148-e3be6c30e623}">
          <xlrd:rvb i="1491"/>
        </ext>
      </extLst>
    </bk>
    <bk>
      <extLst>
        <ext uri="{3e2802c4-a4d2-4d8b-9148-e3be6c30e623}">
          <xlrd:rvb i="1492"/>
        </ext>
      </extLst>
    </bk>
    <bk>
      <extLst>
        <ext uri="{3e2802c4-a4d2-4d8b-9148-e3be6c30e623}">
          <xlrd:rvb i="1493"/>
        </ext>
      </extLst>
    </bk>
    <bk>
      <extLst>
        <ext uri="{3e2802c4-a4d2-4d8b-9148-e3be6c30e623}">
          <xlrd:rvb i="1494"/>
        </ext>
      </extLst>
    </bk>
    <bk>
      <extLst>
        <ext uri="{3e2802c4-a4d2-4d8b-9148-e3be6c30e623}">
          <xlrd:rvb i="1495"/>
        </ext>
      </extLst>
    </bk>
    <bk>
      <extLst>
        <ext uri="{3e2802c4-a4d2-4d8b-9148-e3be6c30e623}">
          <xlrd:rvb i="1496"/>
        </ext>
      </extLst>
    </bk>
    <bk>
      <extLst>
        <ext uri="{3e2802c4-a4d2-4d8b-9148-e3be6c30e623}">
          <xlrd:rvb i="1497"/>
        </ext>
      </extLst>
    </bk>
    <bk>
      <extLst>
        <ext uri="{3e2802c4-a4d2-4d8b-9148-e3be6c30e623}">
          <xlrd:rvb i="1498"/>
        </ext>
      </extLst>
    </bk>
    <bk>
      <extLst>
        <ext uri="{3e2802c4-a4d2-4d8b-9148-e3be6c30e623}">
          <xlrd:rvb i="1499"/>
        </ext>
      </extLst>
    </bk>
    <bk>
      <extLst>
        <ext uri="{3e2802c4-a4d2-4d8b-9148-e3be6c30e623}">
          <xlrd:rvb i="1500"/>
        </ext>
      </extLst>
    </bk>
    <bk>
      <extLst>
        <ext uri="{3e2802c4-a4d2-4d8b-9148-e3be6c30e623}">
          <xlrd:rvb i="1501"/>
        </ext>
      </extLst>
    </bk>
    <bk>
      <extLst>
        <ext uri="{3e2802c4-a4d2-4d8b-9148-e3be6c30e623}">
          <xlrd:rvb i="1502"/>
        </ext>
      </extLst>
    </bk>
    <bk>
      <extLst>
        <ext uri="{3e2802c4-a4d2-4d8b-9148-e3be6c30e623}">
          <xlrd:rvb i="1503"/>
        </ext>
      </extLst>
    </bk>
    <bk>
      <extLst>
        <ext uri="{3e2802c4-a4d2-4d8b-9148-e3be6c30e623}">
          <xlrd:rvb i="1504"/>
        </ext>
      </extLst>
    </bk>
    <bk>
      <extLst>
        <ext uri="{3e2802c4-a4d2-4d8b-9148-e3be6c30e623}">
          <xlrd:rvb i="1505"/>
        </ext>
      </extLst>
    </bk>
    <bk>
      <extLst>
        <ext uri="{3e2802c4-a4d2-4d8b-9148-e3be6c30e623}">
          <xlrd:rvb i="1506"/>
        </ext>
      </extLst>
    </bk>
    <bk>
      <extLst>
        <ext uri="{3e2802c4-a4d2-4d8b-9148-e3be6c30e623}">
          <xlrd:rvb i="1507"/>
        </ext>
      </extLst>
    </bk>
    <bk>
      <extLst>
        <ext uri="{3e2802c4-a4d2-4d8b-9148-e3be6c30e623}">
          <xlrd:rvb i="1508"/>
        </ext>
      </extLst>
    </bk>
    <bk>
      <extLst>
        <ext uri="{3e2802c4-a4d2-4d8b-9148-e3be6c30e623}">
          <xlrd:rvb i="1509"/>
        </ext>
      </extLst>
    </bk>
    <bk>
      <extLst>
        <ext uri="{3e2802c4-a4d2-4d8b-9148-e3be6c30e623}">
          <xlrd:rvb i="1510"/>
        </ext>
      </extLst>
    </bk>
    <bk>
      <extLst>
        <ext uri="{3e2802c4-a4d2-4d8b-9148-e3be6c30e623}">
          <xlrd:rvb i="1511"/>
        </ext>
      </extLst>
    </bk>
    <bk>
      <extLst>
        <ext uri="{3e2802c4-a4d2-4d8b-9148-e3be6c30e623}">
          <xlrd:rvb i="1512"/>
        </ext>
      </extLst>
    </bk>
    <bk>
      <extLst>
        <ext uri="{3e2802c4-a4d2-4d8b-9148-e3be6c30e623}">
          <xlrd:rvb i="1513"/>
        </ext>
      </extLst>
    </bk>
    <bk>
      <extLst>
        <ext uri="{3e2802c4-a4d2-4d8b-9148-e3be6c30e623}">
          <xlrd:rvb i="1514"/>
        </ext>
      </extLst>
    </bk>
    <bk>
      <extLst>
        <ext uri="{3e2802c4-a4d2-4d8b-9148-e3be6c30e623}">
          <xlrd:rvb i="1515"/>
        </ext>
      </extLst>
    </bk>
    <bk>
      <extLst>
        <ext uri="{3e2802c4-a4d2-4d8b-9148-e3be6c30e623}">
          <xlrd:rvb i="1516"/>
        </ext>
      </extLst>
    </bk>
    <bk>
      <extLst>
        <ext uri="{3e2802c4-a4d2-4d8b-9148-e3be6c30e623}">
          <xlrd:rvb i="1517"/>
        </ext>
      </extLst>
    </bk>
    <bk>
      <extLst>
        <ext uri="{3e2802c4-a4d2-4d8b-9148-e3be6c30e623}">
          <xlrd:rvb i="1518"/>
        </ext>
      </extLst>
    </bk>
    <bk>
      <extLst>
        <ext uri="{3e2802c4-a4d2-4d8b-9148-e3be6c30e623}">
          <xlrd:rvb i="1519"/>
        </ext>
      </extLst>
    </bk>
    <bk>
      <extLst>
        <ext uri="{3e2802c4-a4d2-4d8b-9148-e3be6c30e623}">
          <xlrd:rvb i="1520"/>
        </ext>
      </extLst>
    </bk>
    <bk>
      <extLst>
        <ext uri="{3e2802c4-a4d2-4d8b-9148-e3be6c30e623}">
          <xlrd:rvb i="1521"/>
        </ext>
      </extLst>
    </bk>
    <bk>
      <extLst>
        <ext uri="{3e2802c4-a4d2-4d8b-9148-e3be6c30e623}">
          <xlrd:rvb i="1522"/>
        </ext>
      </extLst>
    </bk>
    <bk>
      <extLst>
        <ext uri="{3e2802c4-a4d2-4d8b-9148-e3be6c30e623}">
          <xlrd:rvb i="1523"/>
        </ext>
      </extLst>
    </bk>
    <bk>
      <extLst>
        <ext uri="{3e2802c4-a4d2-4d8b-9148-e3be6c30e623}">
          <xlrd:rvb i="1524"/>
        </ext>
      </extLst>
    </bk>
    <bk>
      <extLst>
        <ext uri="{3e2802c4-a4d2-4d8b-9148-e3be6c30e623}">
          <xlrd:rvb i="1525"/>
        </ext>
      </extLst>
    </bk>
    <bk>
      <extLst>
        <ext uri="{3e2802c4-a4d2-4d8b-9148-e3be6c30e623}">
          <xlrd:rvb i="1526"/>
        </ext>
      </extLst>
    </bk>
    <bk>
      <extLst>
        <ext uri="{3e2802c4-a4d2-4d8b-9148-e3be6c30e623}">
          <xlrd:rvb i="1527"/>
        </ext>
      </extLst>
    </bk>
    <bk>
      <extLst>
        <ext uri="{3e2802c4-a4d2-4d8b-9148-e3be6c30e623}">
          <xlrd:rvb i="1528"/>
        </ext>
      </extLst>
    </bk>
    <bk>
      <extLst>
        <ext uri="{3e2802c4-a4d2-4d8b-9148-e3be6c30e623}">
          <xlrd:rvb i="1529"/>
        </ext>
      </extLst>
    </bk>
    <bk>
      <extLst>
        <ext uri="{3e2802c4-a4d2-4d8b-9148-e3be6c30e623}">
          <xlrd:rvb i="1530"/>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5"/>
        </ext>
      </extLst>
    </bk>
    <bk>
      <extLst>
        <ext uri="{3e2802c4-a4d2-4d8b-9148-e3be6c30e623}">
          <xlrd:rvb i="1536"/>
        </ext>
      </extLst>
    </bk>
    <bk>
      <extLst>
        <ext uri="{3e2802c4-a4d2-4d8b-9148-e3be6c30e623}">
          <xlrd:rvb i="1537"/>
        </ext>
      </extLst>
    </bk>
    <bk>
      <extLst>
        <ext uri="{3e2802c4-a4d2-4d8b-9148-e3be6c30e623}">
          <xlrd:rvb i="1538"/>
        </ext>
      </extLst>
    </bk>
    <bk>
      <extLst>
        <ext uri="{3e2802c4-a4d2-4d8b-9148-e3be6c30e623}">
          <xlrd:rvb i="1539"/>
        </ext>
      </extLst>
    </bk>
    <bk>
      <extLst>
        <ext uri="{3e2802c4-a4d2-4d8b-9148-e3be6c30e623}">
          <xlrd:rvb i="1540"/>
        </ext>
      </extLst>
    </bk>
    <bk>
      <extLst>
        <ext uri="{3e2802c4-a4d2-4d8b-9148-e3be6c30e623}">
          <xlrd:rvb i="1541"/>
        </ext>
      </extLst>
    </bk>
    <bk>
      <extLst>
        <ext uri="{3e2802c4-a4d2-4d8b-9148-e3be6c30e623}">
          <xlrd:rvb i="1542"/>
        </ext>
      </extLst>
    </bk>
    <bk>
      <extLst>
        <ext uri="{3e2802c4-a4d2-4d8b-9148-e3be6c30e623}">
          <xlrd:rvb i="1543"/>
        </ext>
      </extLst>
    </bk>
    <bk>
      <extLst>
        <ext uri="{3e2802c4-a4d2-4d8b-9148-e3be6c30e623}">
          <xlrd:rvb i="1544"/>
        </ext>
      </extLst>
    </bk>
    <bk>
      <extLst>
        <ext uri="{3e2802c4-a4d2-4d8b-9148-e3be6c30e623}">
          <xlrd:rvb i="1545"/>
        </ext>
      </extLst>
    </bk>
    <bk>
      <extLst>
        <ext uri="{3e2802c4-a4d2-4d8b-9148-e3be6c30e623}">
          <xlrd:rvb i="1546"/>
        </ext>
      </extLst>
    </bk>
    <bk>
      <extLst>
        <ext uri="{3e2802c4-a4d2-4d8b-9148-e3be6c30e623}">
          <xlrd:rvb i="1547"/>
        </ext>
      </extLst>
    </bk>
    <bk>
      <extLst>
        <ext uri="{3e2802c4-a4d2-4d8b-9148-e3be6c30e623}">
          <xlrd:rvb i="1548"/>
        </ext>
      </extLst>
    </bk>
    <bk>
      <extLst>
        <ext uri="{3e2802c4-a4d2-4d8b-9148-e3be6c30e623}">
          <xlrd:rvb i="1549"/>
        </ext>
      </extLst>
    </bk>
    <bk>
      <extLst>
        <ext uri="{3e2802c4-a4d2-4d8b-9148-e3be6c30e623}">
          <xlrd:rvb i="1550"/>
        </ext>
      </extLst>
    </bk>
    <bk>
      <extLst>
        <ext uri="{3e2802c4-a4d2-4d8b-9148-e3be6c30e623}">
          <xlrd:rvb i="1551"/>
        </ext>
      </extLst>
    </bk>
    <bk>
      <extLst>
        <ext uri="{3e2802c4-a4d2-4d8b-9148-e3be6c30e623}">
          <xlrd:rvb i="1552"/>
        </ext>
      </extLst>
    </bk>
    <bk>
      <extLst>
        <ext uri="{3e2802c4-a4d2-4d8b-9148-e3be6c30e623}">
          <xlrd:rvb i="1553"/>
        </ext>
      </extLst>
    </bk>
    <bk>
      <extLst>
        <ext uri="{3e2802c4-a4d2-4d8b-9148-e3be6c30e623}">
          <xlrd:rvb i="1554"/>
        </ext>
      </extLst>
    </bk>
    <bk>
      <extLst>
        <ext uri="{3e2802c4-a4d2-4d8b-9148-e3be6c30e623}">
          <xlrd:rvb i="1555"/>
        </ext>
      </extLst>
    </bk>
    <bk>
      <extLst>
        <ext uri="{3e2802c4-a4d2-4d8b-9148-e3be6c30e623}">
          <xlrd:rvb i="1556"/>
        </ext>
      </extLst>
    </bk>
    <bk>
      <extLst>
        <ext uri="{3e2802c4-a4d2-4d8b-9148-e3be6c30e623}">
          <xlrd:rvb i="1557"/>
        </ext>
      </extLst>
    </bk>
    <bk>
      <extLst>
        <ext uri="{3e2802c4-a4d2-4d8b-9148-e3be6c30e623}">
          <xlrd:rvb i="1558"/>
        </ext>
      </extLst>
    </bk>
    <bk>
      <extLst>
        <ext uri="{3e2802c4-a4d2-4d8b-9148-e3be6c30e623}">
          <xlrd:rvb i="1559"/>
        </ext>
      </extLst>
    </bk>
    <bk>
      <extLst>
        <ext uri="{3e2802c4-a4d2-4d8b-9148-e3be6c30e623}">
          <xlrd:rvb i="1560"/>
        </ext>
      </extLst>
    </bk>
    <bk>
      <extLst>
        <ext uri="{3e2802c4-a4d2-4d8b-9148-e3be6c30e623}">
          <xlrd:rvb i="1561"/>
        </ext>
      </extLst>
    </bk>
    <bk>
      <extLst>
        <ext uri="{3e2802c4-a4d2-4d8b-9148-e3be6c30e623}">
          <xlrd:rvb i="1562"/>
        </ext>
      </extLst>
    </bk>
    <bk>
      <extLst>
        <ext uri="{3e2802c4-a4d2-4d8b-9148-e3be6c30e623}">
          <xlrd:rvb i="1563"/>
        </ext>
      </extLst>
    </bk>
    <bk>
      <extLst>
        <ext uri="{3e2802c4-a4d2-4d8b-9148-e3be6c30e623}">
          <xlrd:rvb i="1564"/>
        </ext>
      </extLst>
    </bk>
    <bk>
      <extLst>
        <ext uri="{3e2802c4-a4d2-4d8b-9148-e3be6c30e623}">
          <xlrd:rvb i="1565"/>
        </ext>
      </extLst>
    </bk>
    <bk>
      <extLst>
        <ext uri="{3e2802c4-a4d2-4d8b-9148-e3be6c30e623}">
          <xlrd:rvb i="1566"/>
        </ext>
      </extLst>
    </bk>
    <bk>
      <extLst>
        <ext uri="{3e2802c4-a4d2-4d8b-9148-e3be6c30e623}">
          <xlrd:rvb i="1567"/>
        </ext>
      </extLst>
    </bk>
    <bk>
      <extLst>
        <ext uri="{3e2802c4-a4d2-4d8b-9148-e3be6c30e623}">
          <xlrd:rvb i="1568"/>
        </ext>
      </extLst>
    </bk>
    <bk>
      <extLst>
        <ext uri="{3e2802c4-a4d2-4d8b-9148-e3be6c30e623}">
          <xlrd:rvb i="1569"/>
        </ext>
      </extLst>
    </bk>
    <bk>
      <extLst>
        <ext uri="{3e2802c4-a4d2-4d8b-9148-e3be6c30e623}">
          <xlrd:rvb i="1570"/>
        </ext>
      </extLst>
    </bk>
    <bk>
      <extLst>
        <ext uri="{3e2802c4-a4d2-4d8b-9148-e3be6c30e623}">
          <xlrd:rvb i="1571"/>
        </ext>
      </extLst>
    </bk>
    <bk>
      <extLst>
        <ext uri="{3e2802c4-a4d2-4d8b-9148-e3be6c30e623}">
          <xlrd:rvb i="1572"/>
        </ext>
      </extLst>
    </bk>
    <bk>
      <extLst>
        <ext uri="{3e2802c4-a4d2-4d8b-9148-e3be6c30e623}">
          <xlrd:rvb i="1573"/>
        </ext>
      </extLst>
    </bk>
    <bk>
      <extLst>
        <ext uri="{3e2802c4-a4d2-4d8b-9148-e3be6c30e623}">
          <xlrd:rvb i="1574"/>
        </ext>
      </extLst>
    </bk>
    <bk>
      <extLst>
        <ext uri="{3e2802c4-a4d2-4d8b-9148-e3be6c30e623}">
          <xlrd:rvb i="1575"/>
        </ext>
      </extLst>
    </bk>
    <bk>
      <extLst>
        <ext uri="{3e2802c4-a4d2-4d8b-9148-e3be6c30e623}">
          <xlrd:rvb i="1576"/>
        </ext>
      </extLst>
    </bk>
    <bk>
      <extLst>
        <ext uri="{3e2802c4-a4d2-4d8b-9148-e3be6c30e623}">
          <xlrd:rvb i="1577"/>
        </ext>
      </extLst>
    </bk>
    <bk>
      <extLst>
        <ext uri="{3e2802c4-a4d2-4d8b-9148-e3be6c30e623}">
          <xlrd:rvb i="1578"/>
        </ext>
      </extLst>
    </bk>
    <bk>
      <extLst>
        <ext uri="{3e2802c4-a4d2-4d8b-9148-e3be6c30e623}">
          <xlrd:rvb i="1579"/>
        </ext>
      </extLst>
    </bk>
    <bk>
      <extLst>
        <ext uri="{3e2802c4-a4d2-4d8b-9148-e3be6c30e623}">
          <xlrd:rvb i="1580"/>
        </ext>
      </extLst>
    </bk>
    <bk>
      <extLst>
        <ext uri="{3e2802c4-a4d2-4d8b-9148-e3be6c30e623}">
          <xlrd:rvb i="1581"/>
        </ext>
      </extLst>
    </bk>
    <bk>
      <extLst>
        <ext uri="{3e2802c4-a4d2-4d8b-9148-e3be6c30e623}">
          <xlrd:rvb i="1582"/>
        </ext>
      </extLst>
    </bk>
    <bk>
      <extLst>
        <ext uri="{3e2802c4-a4d2-4d8b-9148-e3be6c30e623}">
          <xlrd:rvb i="1583"/>
        </ext>
      </extLst>
    </bk>
    <bk>
      <extLst>
        <ext uri="{3e2802c4-a4d2-4d8b-9148-e3be6c30e623}">
          <xlrd:rvb i="1584"/>
        </ext>
      </extLst>
    </bk>
    <bk>
      <extLst>
        <ext uri="{3e2802c4-a4d2-4d8b-9148-e3be6c30e623}">
          <xlrd:rvb i="1585"/>
        </ext>
      </extLst>
    </bk>
    <bk>
      <extLst>
        <ext uri="{3e2802c4-a4d2-4d8b-9148-e3be6c30e623}">
          <xlrd:rvb i="1586"/>
        </ext>
      </extLst>
    </bk>
    <bk>
      <extLst>
        <ext uri="{3e2802c4-a4d2-4d8b-9148-e3be6c30e623}">
          <xlrd:rvb i="1587"/>
        </ext>
      </extLst>
    </bk>
    <bk>
      <extLst>
        <ext uri="{3e2802c4-a4d2-4d8b-9148-e3be6c30e623}">
          <xlrd:rvb i="1588"/>
        </ext>
      </extLst>
    </bk>
    <bk>
      <extLst>
        <ext uri="{3e2802c4-a4d2-4d8b-9148-e3be6c30e623}">
          <xlrd:rvb i="1589"/>
        </ext>
      </extLst>
    </bk>
    <bk>
      <extLst>
        <ext uri="{3e2802c4-a4d2-4d8b-9148-e3be6c30e623}">
          <xlrd:rvb i="1590"/>
        </ext>
      </extLst>
    </bk>
    <bk>
      <extLst>
        <ext uri="{3e2802c4-a4d2-4d8b-9148-e3be6c30e623}">
          <xlrd:rvb i="1591"/>
        </ext>
      </extLst>
    </bk>
    <bk>
      <extLst>
        <ext uri="{3e2802c4-a4d2-4d8b-9148-e3be6c30e623}">
          <xlrd:rvb i="1592"/>
        </ext>
      </extLst>
    </bk>
    <bk>
      <extLst>
        <ext uri="{3e2802c4-a4d2-4d8b-9148-e3be6c30e623}">
          <xlrd:rvb i="1593"/>
        </ext>
      </extLst>
    </bk>
    <bk>
      <extLst>
        <ext uri="{3e2802c4-a4d2-4d8b-9148-e3be6c30e623}">
          <xlrd:rvb i="1594"/>
        </ext>
      </extLst>
    </bk>
    <bk>
      <extLst>
        <ext uri="{3e2802c4-a4d2-4d8b-9148-e3be6c30e623}">
          <xlrd:rvb i="1595"/>
        </ext>
      </extLst>
    </bk>
    <bk>
      <extLst>
        <ext uri="{3e2802c4-a4d2-4d8b-9148-e3be6c30e623}">
          <xlrd:rvb i="1596"/>
        </ext>
      </extLst>
    </bk>
    <bk>
      <extLst>
        <ext uri="{3e2802c4-a4d2-4d8b-9148-e3be6c30e623}">
          <xlrd:rvb i="1597"/>
        </ext>
      </extLst>
    </bk>
    <bk>
      <extLst>
        <ext uri="{3e2802c4-a4d2-4d8b-9148-e3be6c30e623}">
          <xlrd:rvb i="1598"/>
        </ext>
      </extLst>
    </bk>
    <bk>
      <extLst>
        <ext uri="{3e2802c4-a4d2-4d8b-9148-e3be6c30e623}">
          <xlrd:rvb i="1599"/>
        </ext>
      </extLst>
    </bk>
    <bk>
      <extLst>
        <ext uri="{3e2802c4-a4d2-4d8b-9148-e3be6c30e623}">
          <xlrd:rvb i="1600"/>
        </ext>
      </extLst>
    </bk>
    <bk>
      <extLst>
        <ext uri="{3e2802c4-a4d2-4d8b-9148-e3be6c30e623}">
          <xlrd:rvb i="1601"/>
        </ext>
      </extLst>
    </bk>
    <bk>
      <extLst>
        <ext uri="{3e2802c4-a4d2-4d8b-9148-e3be6c30e623}">
          <xlrd:rvb i="1602"/>
        </ext>
      </extLst>
    </bk>
    <bk>
      <extLst>
        <ext uri="{3e2802c4-a4d2-4d8b-9148-e3be6c30e623}">
          <xlrd:rvb i="1603"/>
        </ext>
      </extLst>
    </bk>
    <bk>
      <extLst>
        <ext uri="{3e2802c4-a4d2-4d8b-9148-e3be6c30e623}">
          <xlrd:rvb i="1604"/>
        </ext>
      </extLst>
    </bk>
    <bk>
      <extLst>
        <ext uri="{3e2802c4-a4d2-4d8b-9148-e3be6c30e623}">
          <xlrd:rvb i="1605"/>
        </ext>
      </extLst>
    </bk>
    <bk>
      <extLst>
        <ext uri="{3e2802c4-a4d2-4d8b-9148-e3be6c30e623}">
          <xlrd:rvb i="1606"/>
        </ext>
      </extLst>
    </bk>
    <bk>
      <extLst>
        <ext uri="{3e2802c4-a4d2-4d8b-9148-e3be6c30e623}">
          <xlrd:rvb i="1607"/>
        </ext>
      </extLst>
    </bk>
    <bk>
      <extLst>
        <ext uri="{3e2802c4-a4d2-4d8b-9148-e3be6c30e623}">
          <xlrd:rvb i="1608"/>
        </ext>
      </extLst>
    </bk>
    <bk>
      <extLst>
        <ext uri="{3e2802c4-a4d2-4d8b-9148-e3be6c30e623}">
          <xlrd:rvb i="1609"/>
        </ext>
      </extLst>
    </bk>
    <bk>
      <extLst>
        <ext uri="{3e2802c4-a4d2-4d8b-9148-e3be6c30e623}">
          <xlrd:rvb i="1610"/>
        </ext>
      </extLst>
    </bk>
    <bk>
      <extLst>
        <ext uri="{3e2802c4-a4d2-4d8b-9148-e3be6c30e623}">
          <xlrd:rvb i="1611"/>
        </ext>
      </extLst>
    </bk>
    <bk>
      <extLst>
        <ext uri="{3e2802c4-a4d2-4d8b-9148-e3be6c30e623}">
          <xlrd:rvb i="1612"/>
        </ext>
      </extLst>
    </bk>
    <bk>
      <extLst>
        <ext uri="{3e2802c4-a4d2-4d8b-9148-e3be6c30e623}">
          <xlrd:rvb i="1613"/>
        </ext>
      </extLst>
    </bk>
    <bk>
      <extLst>
        <ext uri="{3e2802c4-a4d2-4d8b-9148-e3be6c30e623}">
          <xlrd:rvb i="1614"/>
        </ext>
      </extLst>
    </bk>
    <bk>
      <extLst>
        <ext uri="{3e2802c4-a4d2-4d8b-9148-e3be6c30e623}">
          <xlrd:rvb i="1615"/>
        </ext>
      </extLst>
    </bk>
    <bk>
      <extLst>
        <ext uri="{3e2802c4-a4d2-4d8b-9148-e3be6c30e623}">
          <xlrd:rvb i="1616"/>
        </ext>
      </extLst>
    </bk>
    <bk>
      <extLst>
        <ext uri="{3e2802c4-a4d2-4d8b-9148-e3be6c30e623}">
          <xlrd:rvb i="1617"/>
        </ext>
      </extLst>
    </bk>
    <bk>
      <extLst>
        <ext uri="{3e2802c4-a4d2-4d8b-9148-e3be6c30e623}">
          <xlrd:rvb i="1618"/>
        </ext>
      </extLst>
    </bk>
    <bk>
      <extLst>
        <ext uri="{3e2802c4-a4d2-4d8b-9148-e3be6c30e623}">
          <xlrd:rvb i="1619"/>
        </ext>
      </extLst>
    </bk>
    <bk>
      <extLst>
        <ext uri="{3e2802c4-a4d2-4d8b-9148-e3be6c30e623}">
          <xlrd:rvb i="1620"/>
        </ext>
      </extLst>
    </bk>
    <bk>
      <extLst>
        <ext uri="{3e2802c4-a4d2-4d8b-9148-e3be6c30e623}">
          <xlrd:rvb i="1621"/>
        </ext>
      </extLst>
    </bk>
    <bk>
      <extLst>
        <ext uri="{3e2802c4-a4d2-4d8b-9148-e3be6c30e623}">
          <xlrd:rvb i="1622"/>
        </ext>
      </extLst>
    </bk>
    <bk>
      <extLst>
        <ext uri="{3e2802c4-a4d2-4d8b-9148-e3be6c30e623}">
          <xlrd:rvb i="1623"/>
        </ext>
      </extLst>
    </bk>
    <bk>
      <extLst>
        <ext uri="{3e2802c4-a4d2-4d8b-9148-e3be6c30e623}">
          <xlrd:rvb i="1624"/>
        </ext>
      </extLst>
    </bk>
    <bk>
      <extLst>
        <ext uri="{3e2802c4-a4d2-4d8b-9148-e3be6c30e623}">
          <xlrd:rvb i="1625"/>
        </ext>
      </extLst>
    </bk>
    <bk>
      <extLst>
        <ext uri="{3e2802c4-a4d2-4d8b-9148-e3be6c30e623}">
          <xlrd:rvb i="1626"/>
        </ext>
      </extLst>
    </bk>
    <bk>
      <extLst>
        <ext uri="{3e2802c4-a4d2-4d8b-9148-e3be6c30e623}">
          <xlrd:rvb i="1627"/>
        </ext>
      </extLst>
    </bk>
    <bk>
      <extLst>
        <ext uri="{3e2802c4-a4d2-4d8b-9148-e3be6c30e623}">
          <xlrd:rvb i="1628"/>
        </ext>
      </extLst>
    </bk>
    <bk>
      <extLst>
        <ext uri="{3e2802c4-a4d2-4d8b-9148-e3be6c30e623}">
          <xlrd:rvb i="1629"/>
        </ext>
      </extLst>
    </bk>
    <bk>
      <extLst>
        <ext uri="{3e2802c4-a4d2-4d8b-9148-e3be6c30e623}">
          <xlrd:rvb i="1630"/>
        </ext>
      </extLst>
    </bk>
    <bk>
      <extLst>
        <ext uri="{3e2802c4-a4d2-4d8b-9148-e3be6c30e623}">
          <xlrd:rvb i="1631"/>
        </ext>
      </extLst>
    </bk>
    <bk>
      <extLst>
        <ext uri="{3e2802c4-a4d2-4d8b-9148-e3be6c30e623}">
          <xlrd:rvb i="1632"/>
        </ext>
      </extLst>
    </bk>
    <bk>
      <extLst>
        <ext uri="{3e2802c4-a4d2-4d8b-9148-e3be6c30e623}">
          <xlrd:rvb i="1633"/>
        </ext>
      </extLst>
    </bk>
    <bk>
      <extLst>
        <ext uri="{3e2802c4-a4d2-4d8b-9148-e3be6c30e623}">
          <xlrd:rvb i="1634"/>
        </ext>
      </extLst>
    </bk>
    <bk>
      <extLst>
        <ext uri="{3e2802c4-a4d2-4d8b-9148-e3be6c30e623}">
          <xlrd:rvb i="1635"/>
        </ext>
      </extLst>
    </bk>
    <bk>
      <extLst>
        <ext uri="{3e2802c4-a4d2-4d8b-9148-e3be6c30e623}">
          <xlrd:rvb i="1636"/>
        </ext>
      </extLst>
    </bk>
    <bk>
      <extLst>
        <ext uri="{3e2802c4-a4d2-4d8b-9148-e3be6c30e623}">
          <xlrd:rvb i="1637"/>
        </ext>
      </extLst>
    </bk>
    <bk>
      <extLst>
        <ext uri="{3e2802c4-a4d2-4d8b-9148-e3be6c30e623}">
          <xlrd:rvb i="1638"/>
        </ext>
      </extLst>
    </bk>
    <bk>
      <extLst>
        <ext uri="{3e2802c4-a4d2-4d8b-9148-e3be6c30e623}">
          <xlrd:rvb i="1639"/>
        </ext>
      </extLst>
    </bk>
    <bk>
      <extLst>
        <ext uri="{3e2802c4-a4d2-4d8b-9148-e3be6c30e623}">
          <xlrd:rvb i="1640"/>
        </ext>
      </extLst>
    </bk>
    <bk>
      <extLst>
        <ext uri="{3e2802c4-a4d2-4d8b-9148-e3be6c30e623}">
          <xlrd:rvb i="1641"/>
        </ext>
      </extLst>
    </bk>
    <bk>
      <extLst>
        <ext uri="{3e2802c4-a4d2-4d8b-9148-e3be6c30e623}">
          <xlrd:rvb i="1642"/>
        </ext>
      </extLst>
    </bk>
    <bk>
      <extLst>
        <ext uri="{3e2802c4-a4d2-4d8b-9148-e3be6c30e623}">
          <xlrd:rvb i="1643"/>
        </ext>
      </extLst>
    </bk>
    <bk>
      <extLst>
        <ext uri="{3e2802c4-a4d2-4d8b-9148-e3be6c30e623}">
          <xlrd:rvb i="1644"/>
        </ext>
      </extLst>
    </bk>
    <bk>
      <extLst>
        <ext uri="{3e2802c4-a4d2-4d8b-9148-e3be6c30e623}">
          <xlrd:rvb i="1645"/>
        </ext>
      </extLst>
    </bk>
    <bk>
      <extLst>
        <ext uri="{3e2802c4-a4d2-4d8b-9148-e3be6c30e623}">
          <xlrd:rvb i="1646"/>
        </ext>
      </extLst>
    </bk>
    <bk>
      <extLst>
        <ext uri="{3e2802c4-a4d2-4d8b-9148-e3be6c30e623}">
          <xlrd:rvb i="1647"/>
        </ext>
      </extLst>
    </bk>
    <bk>
      <extLst>
        <ext uri="{3e2802c4-a4d2-4d8b-9148-e3be6c30e623}">
          <xlrd:rvb i="1648"/>
        </ext>
      </extLst>
    </bk>
    <bk>
      <extLst>
        <ext uri="{3e2802c4-a4d2-4d8b-9148-e3be6c30e623}">
          <xlrd:rvb i="1649"/>
        </ext>
      </extLst>
    </bk>
    <bk>
      <extLst>
        <ext uri="{3e2802c4-a4d2-4d8b-9148-e3be6c30e623}">
          <xlrd:rvb i="1650"/>
        </ext>
      </extLst>
    </bk>
    <bk>
      <extLst>
        <ext uri="{3e2802c4-a4d2-4d8b-9148-e3be6c30e623}">
          <xlrd:rvb i="1651"/>
        </ext>
      </extLst>
    </bk>
    <bk>
      <extLst>
        <ext uri="{3e2802c4-a4d2-4d8b-9148-e3be6c30e623}">
          <xlrd:rvb i="1652"/>
        </ext>
      </extLst>
    </bk>
    <bk>
      <extLst>
        <ext uri="{3e2802c4-a4d2-4d8b-9148-e3be6c30e623}">
          <xlrd:rvb i="1653"/>
        </ext>
      </extLst>
    </bk>
    <bk>
      <extLst>
        <ext uri="{3e2802c4-a4d2-4d8b-9148-e3be6c30e623}">
          <xlrd:rvb i="1654"/>
        </ext>
      </extLst>
    </bk>
    <bk>
      <extLst>
        <ext uri="{3e2802c4-a4d2-4d8b-9148-e3be6c30e623}">
          <xlrd:rvb i="1655"/>
        </ext>
      </extLst>
    </bk>
    <bk>
      <extLst>
        <ext uri="{3e2802c4-a4d2-4d8b-9148-e3be6c30e623}">
          <xlrd:rvb i="1656"/>
        </ext>
      </extLst>
    </bk>
    <bk>
      <extLst>
        <ext uri="{3e2802c4-a4d2-4d8b-9148-e3be6c30e623}">
          <xlrd:rvb i="1657"/>
        </ext>
      </extLst>
    </bk>
    <bk>
      <extLst>
        <ext uri="{3e2802c4-a4d2-4d8b-9148-e3be6c30e623}">
          <xlrd:rvb i="1658"/>
        </ext>
      </extLst>
    </bk>
    <bk>
      <extLst>
        <ext uri="{3e2802c4-a4d2-4d8b-9148-e3be6c30e623}">
          <xlrd:rvb i="1659"/>
        </ext>
      </extLst>
    </bk>
    <bk>
      <extLst>
        <ext uri="{3e2802c4-a4d2-4d8b-9148-e3be6c30e623}">
          <xlrd:rvb i="1660"/>
        </ext>
      </extLst>
    </bk>
    <bk>
      <extLst>
        <ext uri="{3e2802c4-a4d2-4d8b-9148-e3be6c30e623}">
          <xlrd:rvb i="1661"/>
        </ext>
      </extLst>
    </bk>
    <bk>
      <extLst>
        <ext uri="{3e2802c4-a4d2-4d8b-9148-e3be6c30e623}">
          <xlrd:rvb i="1662"/>
        </ext>
      </extLst>
    </bk>
    <bk>
      <extLst>
        <ext uri="{3e2802c4-a4d2-4d8b-9148-e3be6c30e623}">
          <xlrd:rvb i="1663"/>
        </ext>
      </extLst>
    </bk>
    <bk>
      <extLst>
        <ext uri="{3e2802c4-a4d2-4d8b-9148-e3be6c30e623}">
          <xlrd:rvb i="1664"/>
        </ext>
      </extLst>
    </bk>
    <bk>
      <extLst>
        <ext uri="{3e2802c4-a4d2-4d8b-9148-e3be6c30e623}">
          <xlrd:rvb i="1665"/>
        </ext>
      </extLst>
    </bk>
    <bk>
      <extLst>
        <ext uri="{3e2802c4-a4d2-4d8b-9148-e3be6c30e623}">
          <xlrd:rvb i="1666"/>
        </ext>
      </extLst>
    </bk>
    <bk>
      <extLst>
        <ext uri="{3e2802c4-a4d2-4d8b-9148-e3be6c30e623}">
          <xlrd:rvb i="1667"/>
        </ext>
      </extLst>
    </bk>
    <bk>
      <extLst>
        <ext uri="{3e2802c4-a4d2-4d8b-9148-e3be6c30e623}">
          <xlrd:rvb i="1668"/>
        </ext>
      </extLst>
    </bk>
    <bk>
      <extLst>
        <ext uri="{3e2802c4-a4d2-4d8b-9148-e3be6c30e623}">
          <xlrd:rvb i="1669"/>
        </ext>
      </extLst>
    </bk>
    <bk>
      <extLst>
        <ext uri="{3e2802c4-a4d2-4d8b-9148-e3be6c30e623}">
          <xlrd:rvb i="1670"/>
        </ext>
      </extLst>
    </bk>
    <bk>
      <extLst>
        <ext uri="{3e2802c4-a4d2-4d8b-9148-e3be6c30e623}">
          <xlrd:rvb i="1671"/>
        </ext>
      </extLst>
    </bk>
    <bk>
      <extLst>
        <ext uri="{3e2802c4-a4d2-4d8b-9148-e3be6c30e623}">
          <xlrd:rvb i="1672"/>
        </ext>
      </extLst>
    </bk>
    <bk>
      <extLst>
        <ext uri="{3e2802c4-a4d2-4d8b-9148-e3be6c30e623}">
          <xlrd:rvb i="1673"/>
        </ext>
      </extLst>
    </bk>
    <bk>
      <extLst>
        <ext uri="{3e2802c4-a4d2-4d8b-9148-e3be6c30e623}">
          <xlrd:rvb i="1674"/>
        </ext>
      </extLst>
    </bk>
    <bk>
      <extLst>
        <ext uri="{3e2802c4-a4d2-4d8b-9148-e3be6c30e623}">
          <xlrd:rvb i="1675"/>
        </ext>
      </extLst>
    </bk>
    <bk>
      <extLst>
        <ext uri="{3e2802c4-a4d2-4d8b-9148-e3be6c30e623}">
          <xlrd:rvb i="1676"/>
        </ext>
      </extLst>
    </bk>
    <bk>
      <extLst>
        <ext uri="{3e2802c4-a4d2-4d8b-9148-e3be6c30e623}">
          <xlrd:rvb i="1677"/>
        </ext>
      </extLst>
    </bk>
    <bk>
      <extLst>
        <ext uri="{3e2802c4-a4d2-4d8b-9148-e3be6c30e623}">
          <xlrd:rvb i="1678"/>
        </ext>
      </extLst>
    </bk>
    <bk>
      <extLst>
        <ext uri="{3e2802c4-a4d2-4d8b-9148-e3be6c30e623}">
          <xlrd:rvb i="1679"/>
        </ext>
      </extLst>
    </bk>
    <bk>
      <extLst>
        <ext uri="{3e2802c4-a4d2-4d8b-9148-e3be6c30e623}">
          <xlrd:rvb i="1680"/>
        </ext>
      </extLst>
    </bk>
    <bk>
      <extLst>
        <ext uri="{3e2802c4-a4d2-4d8b-9148-e3be6c30e623}">
          <xlrd:rvb i="1681"/>
        </ext>
      </extLst>
    </bk>
    <bk>
      <extLst>
        <ext uri="{3e2802c4-a4d2-4d8b-9148-e3be6c30e623}">
          <xlrd:rvb i="1682"/>
        </ext>
      </extLst>
    </bk>
    <bk>
      <extLst>
        <ext uri="{3e2802c4-a4d2-4d8b-9148-e3be6c30e623}">
          <xlrd:rvb i="1683"/>
        </ext>
      </extLst>
    </bk>
    <bk>
      <extLst>
        <ext uri="{3e2802c4-a4d2-4d8b-9148-e3be6c30e623}">
          <xlrd:rvb i="1684"/>
        </ext>
      </extLst>
    </bk>
    <bk>
      <extLst>
        <ext uri="{3e2802c4-a4d2-4d8b-9148-e3be6c30e623}">
          <xlrd:rvb i="1685"/>
        </ext>
      </extLst>
    </bk>
    <bk>
      <extLst>
        <ext uri="{3e2802c4-a4d2-4d8b-9148-e3be6c30e623}">
          <xlrd:rvb i="1686"/>
        </ext>
      </extLst>
    </bk>
    <bk>
      <extLst>
        <ext uri="{3e2802c4-a4d2-4d8b-9148-e3be6c30e623}">
          <xlrd:rvb i="1687"/>
        </ext>
      </extLst>
    </bk>
    <bk>
      <extLst>
        <ext uri="{3e2802c4-a4d2-4d8b-9148-e3be6c30e623}">
          <xlrd:rvb i="1688"/>
        </ext>
      </extLst>
    </bk>
    <bk>
      <extLst>
        <ext uri="{3e2802c4-a4d2-4d8b-9148-e3be6c30e623}">
          <xlrd:rvb i="1689"/>
        </ext>
      </extLst>
    </bk>
    <bk>
      <extLst>
        <ext uri="{3e2802c4-a4d2-4d8b-9148-e3be6c30e623}">
          <xlrd:rvb i="1690"/>
        </ext>
      </extLst>
    </bk>
    <bk>
      <extLst>
        <ext uri="{3e2802c4-a4d2-4d8b-9148-e3be6c30e623}">
          <xlrd:rvb i="1691"/>
        </ext>
      </extLst>
    </bk>
    <bk>
      <extLst>
        <ext uri="{3e2802c4-a4d2-4d8b-9148-e3be6c30e623}">
          <xlrd:rvb i="1692"/>
        </ext>
      </extLst>
    </bk>
    <bk>
      <extLst>
        <ext uri="{3e2802c4-a4d2-4d8b-9148-e3be6c30e623}">
          <xlrd:rvb i="1693"/>
        </ext>
      </extLst>
    </bk>
    <bk>
      <extLst>
        <ext uri="{3e2802c4-a4d2-4d8b-9148-e3be6c30e623}">
          <xlrd:rvb i="1694"/>
        </ext>
      </extLst>
    </bk>
    <bk>
      <extLst>
        <ext uri="{3e2802c4-a4d2-4d8b-9148-e3be6c30e623}">
          <xlrd:rvb i="1695"/>
        </ext>
      </extLst>
    </bk>
    <bk>
      <extLst>
        <ext uri="{3e2802c4-a4d2-4d8b-9148-e3be6c30e623}">
          <xlrd:rvb i="1696"/>
        </ext>
      </extLst>
    </bk>
    <bk>
      <extLst>
        <ext uri="{3e2802c4-a4d2-4d8b-9148-e3be6c30e623}">
          <xlrd:rvb i="1697"/>
        </ext>
      </extLst>
    </bk>
    <bk>
      <extLst>
        <ext uri="{3e2802c4-a4d2-4d8b-9148-e3be6c30e623}">
          <xlrd:rvb i="1698"/>
        </ext>
      </extLst>
    </bk>
    <bk>
      <extLst>
        <ext uri="{3e2802c4-a4d2-4d8b-9148-e3be6c30e623}">
          <xlrd:rvb i="1699"/>
        </ext>
      </extLst>
    </bk>
    <bk>
      <extLst>
        <ext uri="{3e2802c4-a4d2-4d8b-9148-e3be6c30e623}">
          <xlrd:rvb i="1700"/>
        </ext>
      </extLst>
    </bk>
    <bk>
      <extLst>
        <ext uri="{3e2802c4-a4d2-4d8b-9148-e3be6c30e623}">
          <xlrd:rvb i="1701"/>
        </ext>
      </extLst>
    </bk>
    <bk>
      <extLst>
        <ext uri="{3e2802c4-a4d2-4d8b-9148-e3be6c30e623}">
          <xlrd:rvb i="1702"/>
        </ext>
      </extLst>
    </bk>
    <bk>
      <extLst>
        <ext uri="{3e2802c4-a4d2-4d8b-9148-e3be6c30e623}">
          <xlrd:rvb i="1703"/>
        </ext>
      </extLst>
    </bk>
    <bk>
      <extLst>
        <ext uri="{3e2802c4-a4d2-4d8b-9148-e3be6c30e623}">
          <xlrd:rvb i="1704"/>
        </ext>
      </extLst>
    </bk>
    <bk>
      <extLst>
        <ext uri="{3e2802c4-a4d2-4d8b-9148-e3be6c30e623}">
          <xlrd:rvb i="1705"/>
        </ext>
      </extLst>
    </bk>
    <bk>
      <extLst>
        <ext uri="{3e2802c4-a4d2-4d8b-9148-e3be6c30e623}">
          <xlrd:rvb i="1706"/>
        </ext>
      </extLst>
    </bk>
    <bk>
      <extLst>
        <ext uri="{3e2802c4-a4d2-4d8b-9148-e3be6c30e623}">
          <xlrd:rvb i="1707"/>
        </ext>
      </extLst>
    </bk>
    <bk>
      <extLst>
        <ext uri="{3e2802c4-a4d2-4d8b-9148-e3be6c30e623}">
          <xlrd:rvb i="1708"/>
        </ext>
      </extLst>
    </bk>
    <bk>
      <extLst>
        <ext uri="{3e2802c4-a4d2-4d8b-9148-e3be6c30e623}">
          <xlrd:rvb i="1709"/>
        </ext>
      </extLst>
    </bk>
    <bk>
      <extLst>
        <ext uri="{3e2802c4-a4d2-4d8b-9148-e3be6c30e623}">
          <xlrd:rvb i="1710"/>
        </ext>
      </extLst>
    </bk>
    <bk>
      <extLst>
        <ext uri="{3e2802c4-a4d2-4d8b-9148-e3be6c30e623}">
          <xlrd:rvb i="1711"/>
        </ext>
      </extLst>
    </bk>
    <bk>
      <extLst>
        <ext uri="{3e2802c4-a4d2-4d8b-9148-e3be6c30e623}">
          <xlrd:rvb i="1712"/>
        </ext>
      </extLst>
    </bk>
    <bk>
      <extLst>
        <ext uri="{3e2802c4-a4d2-4d8b-9148-e3be6c30e623}">
          <xlrd:rvb i="1713"/>
        </ext>
      </extLst>
    </bk>
    <bk>
      <extLst>
        <ext uri="{3e2802c4-a4d2-4d8b-9148-e3be6c30e623}">
          <xlrd:rvb i="1714"/>
        </ext>
      </extLst>
    </bk>
    <bk>
      <extLst>
        <ext uri="{3e2802c4-a4d2-4d8b-9148-e3be6c30e623}">
          <xlrd:rvb i="1715"/>
        </ext>
      </extLst>
    </bk>
    <bk>
      <extLst>
        <ext uri="{3e2802c4-a4d2-4d8b-9148-e3be6c30e623}">
          <xlrd:rvb i="1716"/>
        </ext>
      </extLst>
    </bk>
    <bk>
      <extLst>
        <ext uri="{3e2802c4-a4d2-4d8b-9148-e3be6c30e623}">
          <xlrd:rvb i="1717"/>
        </ext>
      </extLst>
    </bk>
    <bk>
      <extLst>
        <ext uri="{3e2802c4-a4d2-4d8b-9148-e3be6c30e623}">
          <xlrd:rvb i="1718"/>
        </ext>
      </extLst>
    </bk>
    <bk>
      <extLst>
        <ext uri="{3e2802c4-a4d2-4d8b-9148-e3be6c30e623}">
          <xlrd:rvb i="1719"/>
        </ext>
      </extLst>
    </bk>
    <bk>
      <extLst>
        <ext uri="{3e2802c4-a4d2-4d8b-9148-e3be6c30e623}">
          <xlrd:rvb i="1720"/>
        </ext>
      </extLst>
    </bk>
    <bk>
      <extLst>
        <ext uri="{3e2802c4-a4d2-4d8b-9148-e3be6c30e623}">
          <xlrd:rvb i="1721"/>
        </ext>
      </extLst>
    </bk>
    <bk>
      <extLst>
        <ext uri="{3e2802c4-a4d2-4d8b-9148-e3be6c30e623}">
          <xlrd:rvb i="1722"/>
        </ext>
      </extLst>
    </bk>
    <bk>
      <extLst>
        <ext uri="{3e2802c4-a4d2-4d8b-9148-e3be6c30e623}">
          <xlrd:rvb i="1723"/>
        </ext>
      </extLst>
    </bk>
    <bk>
      <extLst>
        <ext uri="{3e2802c4-a4d2-4d8b-9148-e3be6c30e623}">
          <xlrd:rvb i="1724"/>
        </ext>
      </extLst>
    </bk>
    <bk>
      <extLst>
        <ext uri="{3e2802c4-a4d2-4d8b-9148-e3be6c30e623}">
          <xlrd:rvb i="1725"/>
        </ext>
      </extLst>
    </bk>
    <bk>
      <extLst>
        <ext uri="{3e2802c4-a4d2-4d8b-9148-e3be6c30e623}">
          <xlrd:rvb i="1726"/>
        </ext>
      </extLst>
    </bk>
    <bk>
      <extLst>
        <ext uri="{3e2802c4-a4d2-4d8b-9148-e3be6c30e623}">
          <xlrd:rvb i="1727"/>
        </ext>
      </extLst>
    </bk>
    <bk>
      <extLst>
        <ext uri="{3e2802c4-a4d2-4d8b-9148-e3be6c30e623}">
          <xlrd:rvb i="1728"/>
        </ext>
      </extLst>
    </bk>
    <bk>
      <extLst>
        <ext uri="{3e2802c4-a4d2-4d8b-9148-e3be6c30e623}">
          <xlrd:rvb i="1729"/>
        </ext>
      </extLst>
    </bk>
    <bk>
      <extLst>
        <ext uri="{3e2802c4-a4d2-4d8b-9148-e3be6c30e623}">
          <xlrd:rvb i="1730"/>
        </ext>
      </extLst>
    </bk>
    <bk>
      <extLst>
        <ext uri="{3e2802c4-a4d2-4d8b-9148-e3be6c30e623}">
          <xlrd:rvb i="1731"/>
        </ext>
      </extLst>
    </bk>
    <bk>
      <extLst>
        <ext uri="{3e2802c4-a4d2-4d8b-9148-e3be6c30e623}">
          <xlrd:rvb i="1732"/>
        </ext>
      </extLst>
    </bk>
    <bk>
      <extLst>
        <ext uri="{3e2802c4-a4d2-4d8b-9148-e3be6c30e623}">
          <xlrd:rvb i="1733"/>
        </ext>
      </extLst>
    </bk>
    <bk>
      <extLst>
        <ext uri="{3e2802c4-a4d2-4d8b-9148-e3be6c30e623}">
          <xlrd:rvb i="1734"/>
        </ext>
      </extLst>
    </bk>
    <bk>
      <extLst>
        <ext uri="{3e2802c4-a4d2-4d8b-9148-e3be6c30e623}">
          <xlrd:rvb i="1735"/>
        </ext>
      </extLst>
    </bk>
    <bk>
      <extLst>
        <ext uri="{3e2802c4-a4d2-4d8b-9148-e3be6c30e623}">
          <xlrd:rvb i="1736"/>
        </ext>
      </extLst>
    </bk>
    <bk>
      <extLst>
        <ext uri="{3e2802c4-a4d2-4d8b-9148-e3be6c30e623}">
          <xlrd:rvb i="1737"/>
        </ext>
      </extLst>
    </bk>
    <bk>
      <extLst>
        <ext uri="{3e2802c4-a4d2-4d8b-9148-e3be6c30e623}">
          <xlrd:rvb i="1738"/>
        </ext>
      </extLst>
    </bk>
    <bk>
      <extLst>
        <ext uri="{3e2802c4-a4d2-4d8b-9148-e3be6c30e623}">
          <xlrd:rvb i="1739"/>
        </ext>
      </extLst>
    </bk>
    <bk>
      <extLst>
        <ext uri="{3e2802c4-a4d2-4d8b-9148-e3be6c30e623}">
          <xlrd:rvb i="1740"/>
        </ext>
      </extLst>
    </bk>
    <bk>
      <extLst>
        <ext uri="{3e2802c4-a4d2-4d8b-9148-e3be6c30e623}">
          <xlrd:rvb i="1741"/>
        </ext>
      </extLst>
    </bk>
    <bk>
      <extLst>
        <ext uri="{3e2802c4-a4d2-4d8b-9148-e3be6c30e623}">
          <xlrd:rvb i="1742"/>
        </ext>
      </extLst>
    </bk>
    <bk>
      <extLst>
        <ext uri="{3e2802c4-a4d2-4d8b-9148-e3be6c30e623}">
          <xlrd:rvb i="1743"/>
        </ext>
      </extLst>
    </bk>
    <bk>
      <extLst>
        <ext uri="{3e2802c4-a4d2-4d8b-9148-e3be6c30e623}">
          <xlrd:rvb i="1744"/>
        </ext>
      </extLst>
    </bk>
    <bk>
      <extLst>
        <ext uri="{3e2802c4-a4d2-4d8b-9148-e3be6c30e623}">
          <xlrd:rvb i="1745"/>
        </ext>
      </extLst>
    </bk>
    <bk>
      <extLst>
        <ext uri="{3e2802c4-a4d2-4d8b-9148-e3be6c30e623}">
          <xlrd:rvb i="1746"/>
        </ext>
      </extLst>
    </bk>
    <bk>
      <extLst>
        <ext uri="{3e2802c4-a4d2-4d8b-9148-e3be6c30e623}">
          <xlrd:rvb i="1747"/>
        </ext>
      </extLst>
    </bk>
    <bk>
      <extLst>
        <ext uri="{3e2802c4-a4d2-4d8b-9148-e3be6c30e623}">
          <xlrd:rvb i="1748"/>
        </ext>
      </extLst>
    </bk>
    <bk>
      <extLst>
        <ext uri="{3e2802c4-a4d2-4d8b-9148-e3be6c30e623}">
          <xlrd:rvb i="1749"/>
        </ext>
      </extLst>
    </bk>
    <bk>
      <extLst>
        <ext uri="{3e2802c4-a4d2-4d8b-9148-e3be6c30e623}">
          <xlrd:rvb i="1750"/>
        </ext>
      </extLst>
    </bk>
    <bk>
      <extLst>
        <ext uri="{3e2802c4-a4d2-4d8b-9148-e3be6c30e623}">
          <xlrd:rvb i="1751"/>
        </ext>
      </extLst>
    </bk>
    <bk>
      <extLst>
        <ext uri="{3e2802c4-a4d2-4d8b-9148-e3be6c30e623}">
          <xlrd:rvb i="1752"/>
        </ext>
      </extLst>
    </bk>
    <bk>
      <extLst>
        <ext uri="{3e2802c4-a4d2-4d8b-9148-e3be6c30e623}">
          <xlrd:rvb i="1753"/>
        </ext>
      </extLst>
    </bk>
    <bk>
      <extLst>
        <ext uri="{3e2802c4-a4d2-4d8b-9148-e3be6c30e623}">
          <xlrd:rvb i="1754"/>
        </ext>
      </extLst>
    </bk>
    <bk>
      <extLst>
        <ext uri="{3e2802c4-a4d2-4d8b-9148-e3be6c30e623}">
          <xlrd:rvb i="1755"/>
        </ext>
      </extLst>
    </bk>
    <bk>
      <extLst>
        <ext uri="{3e2802c4-a4d2-4d8b-9148-e3be6c30e623}">
          <xlrd:rvb i="1756"/>
        </ext>
      </extLst>
    </bk>
    <bk>
      <extLst>
        <ext uri="{3e2802c4-a4d2-4d8b-9148-e3be6c30e623}">
          <xlrd:rvb i="1757"/>
        </ext>
      </extLst>
    </bk>
    <bk>
      <extLst>
        <ext uri="{3e2802c4-a4d2-4d8b-9148-e3be6c30e623}">
          <xlrd:rvb i="1758"/>
        </ext>
      </extLst>
    </bk>
    <bk>
      <extLst>
        <ext uri="{3e2802c4-a4d2-4d8b-9148-e3be6c30e623}">
          <xlrd:rvb i="1759"/>
        </ext>
      </extLst>
    </bk>
    <bk>
      <extLst>
        <ext uri="{3e2802c4-a4d2-4d8b-9148-e3be6c30e623}">
          <xlrd:rvb i="1760"/>
        </ext>
      </extLst>
    </bk>
    <bk>
      <extLst>
        <ext uri="{3e2802c4-a4d2-4d8b-9148-e3be6c30e623}">
          <xlrd:rvb i="1761"/>
        </ext>
      </extLst>
    </bk>
    <bk>
      <extLst>
        <ext uri="{3e2802c4-a4d2-4d8b-9148-e3be6c30e623}">
          <xlrd:rvb i="1762"/>
        </ext>
      </extLst>
    </bk>
    <bk>
      <extLst>
        <ext uri="{3e2802c4-a4d2-4d8b-9148-e3be6c30e623}">
          <xlrd:rvb i="1763"/>
        </ext>
      </extLst>
    </bk>
    <bk>
      <extLst>
        <ext uri="{3e2802c4-a4d2-4d8b-9148-e3be6c30e623}">
          <xlrd:rvb i="1764"/>
        </ext>
      </extLst>
    </bk>
    <bk>
      <extLst>
        <ext uri="{3e2802c4-a4d2-4d8b-9148-e3be6c30e623}">
          <xlrd:rvb i="1765"/>
        </ext>
      </extLst>
    </bk>
    <bk>
      <extLst>
        <ext uri="{3e2802c4-a4d2-4d8b-9148-e3be6c30e623}">
          <xlrd:rvb i="1766"/>
        </ext>
      </extLst>
    </bk>
    <bk>
      <extLst>
        <ext uri="{3e2802c4-a4d2-4d8b-9148-e3be6c30e623}">
          <xlrd:rvb i="1767"/>
        </ext>
      </extLst>
    </bk>
    <bk>
      <extLst>
        <ext uri="{3e2802c4-a4d2-4d8b-9148-e3be6c30e623}">
          <xlrd:rvb i="1768"/>
        </ext>
      </extLst>
    </bk>
    <bk>
      <extLst>
        <ext uri="{3e2802c4-a4d2-4d8b-9148-e3be6c30e623}">
          <xlrd:rvb i="1769"/>
        </ext>
      </extLst>
    </bk>
    <bk>
      <extLst>
        <ext uri="{3e2802c4-a4d2-4d8b-9148-e3be6c30e623}">
          <xlrd:rvb i="1770"/>
        </ext>
      </extLst>
    </bk>
    <bk>
      <extLst>
        <ext uri="{3e2802c4-a4d2-4d8b-9148-e3be6c30e623}">
          <xlrd:rvb i="1771"/>
        </ext>
      </extLst>
    </bk>
    <bk>
      <extLst>
        <ext uri="{3e2802c4-a4d2-4d8b-9148-e3be6c30e623}">
          <xlrd:rvb i="1772"/>
        </ext>
      </extLst>
    </bk>
    <bk>
      <extLst>
        <ext uri="{3e2802c4-a4d2-4d8b-9148-e3be6c30e623}">
          <xlrd:rvb i="1773"/>
        </ext>
      </extLst>
    </bk>
    <bk>
      <extLst>
        <ext uri="{3e2802c4-a4d2-4d8b-9148-e3be6c30e623}">
          <xlrd:rvb i="1774"/>
        </ext>
      </extLst>
    </bk>
    <bk>
      <extLst>
        <ext uri="{3e2802c4-a4d2-4d8b-9148-e3be6c30e623}">
          <xlrd:rvb i="1775"/>
        </ext>
      </extLst>
    </bk>
    <bk>
      <extLst>
        <ext uri="{3e2802c4-a4d2-4d8b-9148-e3be6c30e623}">
          <xlrd:rvb i="1776"/>
        </ext>
      </extLst>
    </bk>
    <bk>
      <extLst>
        <ext uri="{3e2802c4-a4d2-4d8b-9148-e3be6c30e623}">
          <xlrd:rvb i="1777"/>
        </ext>
      </extLst>
    </bk>
    <bk>
      <extLst>
        <ext uri="{3e2802c4-a4d2-4d8b-9148-e3be6c30e623}">
          <xlrd:rvb i="1778"/>
        </ext>
      </extLst>
    </bk>
    <bk>
      <extLst>
        <ext uri="{3e2802c4-a4d2-4d8b-9148-e3be6c30e623}">
          <xlrd:rvb i="1779"/>
        </ext>
      </extLst>
    </bk>
    <bk>
      <extLst>
        <ext uri="{3e2802c4-a4d2-4d8b-9148-e3be6c30e623}">
          <xlrd:rvb i="1780"/>
        </ext>
      </extLst>
    </bk>
    <bk>
      <extLst>
        <ext uri="{3e2802c4-a4d2-4d8b-9148-e3be6c30e623}">
          <xlrd:rvb i="1781"/>
        </ext>
      </extLst>
    </bk>
    <bk>
      <extLst>
        <ext uri="{3e2802c4-a4d2-4d8b-9148-e3be6c30e623}">
          <xlrd:rvb i="1782"/>
        </ext>
      </extLst>
    </bk>
    <bk>
      <extLst>
        <ext uri="{3e2802c4-a4d2-4d8b-9148-e3be6c30e623}">
          <xlrd:rvb i="1783"/>
        </ext>
      </extLst>
    </bk>
    <bk>
      <extLst>
        <ext uri="{3e2802c4-a4d2-4d8b-9148-e3be6c30e623}">
          <xlrd:rvb i="1784"/>
        </ext>
      </extLst>
    </bk>
    <bk>
      <extLst>
        <ext uri="{3e2802c4-a4d2-4d8b-9148-e3be6c30e623}">
          <xlrd:rvb i="1785"/>
        </ext>
      </extLst>
    </bk>
    <bk>
      <extLst>
        <ext uri="{3e2802c4-a4d2-4d8b-9148-e3be6c30e623}">
          <xlrd:rvb i="1786"/>
        </ext>
      </extLst>
    </bk>
    <bk>
      <extLst>
        <ext uri="{3e2802c4-a4d2-4d8b-9148-e3be6c30e623}">
          <xlrd:rvb i="1787"/>
        </ext>
      </extLst>
    </bk>
    <bk>
      <extLst>
        <ext uri="{3e2802c4-a4d2-4d8b-9148-e3be6c30e623}">
          <xlrd:rvb i="1788"/>
        </ext>
      </extLst>
    </bk>
    <bk>
      <extLst>
        <ext uri="{3e2802c4-a4d2-4d8b-9148-e3be6c30e623}">
          <xlrd:rvb i="1789"/>
        </ext>
      </extLst>
    </bk>
    <bk>
      <extLst>
        <ext uri="{3e2802c4-a4d2-4d8b-9148-e3be6c30e623}">
          <xlrd:rvb i="1790"/>
        </ext>
      </extLst>
    </bk>
    <bk>
      <extLst>
        <ext uri="{3e2802c4-a4d2-4d8b-9148-e3be6c30e623}">
          <xlrd:rvb i="1791"/>
        </ext>
      </extLst>
    </bk>
    <bk>
      <extLst>
        <ext uri="{3e2802c4-a4d2-4d8b-9148-e3be6c30e623}">
          <xlrd:rvb i="1792"/>
        </ext>
      </extLst>
    </bk>
    <bk>
      <extLst>
        <ext uri="{3e2802c4-a4d2-4d8b-9148-e3be6c30e623}">
          <xlrd:rvb i="1793"/>
        </ext>
      </extLst>
    </bk>
    <bk>
      <extLst>
        <ext uri="{3e2802c4-a4d2-4d8b-9148-e3be6c30e623}">
          <xlrd:rvb i="1794"/>
        </ext>
      </extLst>
    </bk>
    <bk>
      <extLst>
        <ext uri="{3e2802c4-a4d2-4d8b-9148-e3be6c30e623}">
          <xlrd:rvb i="1795"/>
        </ext>
      </extLst>
    </bk>
    <bk>
      <extLst>
        <ext uri="{3e2802c4-a4d2-4d8b-9148-e3be6c30e623}">
          <xlrd:rvb i="1796"/>
        </ext>
      </extLst>
    </bk>
    <bk>
      <extLst>
        <ext uri="{3e2802c4-a4d2-4d8b-9148-e3be6c30e623}">
          <xlrd:rvb i="1797"/>
        </ext>
      </extLst>
    </bk>
    <bk>
      <extLst>
        <ext uri="{3e2802c4-a4d2-4d8b-9148-e3be6c30e623}">
          <xlrd:rvb i="1798"/>
        </ext>
      </extLst>
    </bk>
    <bk>
      <extLst>
        <ext uri="{3e2802c4-a4d2-4d8b-9148-e3be6c30e623}">
          <xlrd:rvb i="1799"/>
        </ext>
      </extLst>
    </bk>
    <bk>
      <extLst>
        <ext uri="{3e2802c4-a4d2-4d8b-9148-e3be6c30e623}">
          <xlrd:rvb i="1800"/>
        </ext>
      </extLst>
    </bk>
    <bk>
      <extLst>
        <ext uri="{3e2802c4-a4d2-4d8b-9148-e3be6c30e623}">
          <xlrd:rvb i="1801"/>
        </ext>
      </extLst>
    </bk>
    <bk>
      <extLst>
        <ext uri="{3e2802c4-a4d2-4d8b-9148-e3be6c30e623}">
          <xlrd:rvb i="1802"/>
        </ext>
      </extLst>
    </bk>
    <bk>
      <extLst>
        <ext uri="{3e2802c4-a4d2-4d8b-9148-e3be6c30e623}">
          <xlrd:rvb i="1803"/>
        </ext>
      </extLst>
    </bk>
    <bk>
      <extLst>
        <ext uri="{3e2802c4-a4d2-4d8b-9148-e3be6c30e623}">
          <xlrd:rvb i="1804"/>
        </ext>
      </extLst>
    </bk>
    <bk>
      <extLst>
        <ext uri="{3e2802c4-a4d2-4d8b-9148-e3be6c30e623}">
          <xlrd:rvb i="1805"/>
        </ext>
      </extLst>
    </bk>
    <bk>
      <extLst>
        <ext uri="{3e2802c4-a4d2-4d8b-9148-e3be6c30e623}">
          <xlrd:rvb i="1806"/>
        </ext>
      </extLst>
    </bk>
    <bk>
      <extLst>
        <ext uri="{3e2802c4-a4d2-4d8b-9148-e3be6c30e623}">
          <xlrd:rvb i="1807"/>
        </ext>
      </extLst>
    </bk>
    <bk>
      <extLst>
        <ext uri="{3e2802c4-a4d2-4d8b-9148-e3be6c30e623}">
          <xlrd:rvb i="1808"/>
        </ext>
      </extLst>
    </bk>
    <bk>
      <extLst>
        <ext uri="{3e2802c4-a4d2-4d8b-9148-e3be6c30e623}">
          <xlrd:rvb i="1809"/>
        </ext>
      </extLst>
    </bk>
    <bk>
      <extLst>
        <ext uri="{3e2802c4-a4d2-4d8b-9148-e3be6c30e623}">
          <xlrd:rvb i="1810"/>
        </ext>
      </extLst>
    </bk>
    <bk>
      <extLst>
        <ext uri="{3e2802c4-a4d2-4d8b-9148-e3be6c30e623}">
          <xlrd:rvb i="1811"/>
        </ext>
      </extLst>
    </bk>
    <bk>
      <extLst>
        <ext uri="{3e2802c4-a4d2-4d8b-9148-e3be6c30e623}">
          <xlrd:rvb i="1812"/>
        </ext>
      </extLst>
    </bk>
    <bk>
      <extLst>
        <ext uri="{3e2802c4-a4d2-4d8b-9148-e3be6c30e623}">
          <xlrd:rvb i="1813"/>
        </ext>
      </extLst>
    </bk>
    <bk>
      <extLst>
        <ext uri="{3e2802c4-a4d2-4d8b-9148-e3be6c30e623}">
          <xlrd:rvb i="1814"/>
        </ext>
      </extLst>
    </bk>
    <bk>
      <extLst>
        <ext uri="{3e2802c4-a4d2-4d8b-9148-e3be6c30e623}">
          <xlrd:rvb i="1815"/>
        </ext>
      </extLst>
    </bk>
    <bk>
      <extLst>
        <ext uri="{3e2802c4-a4d2-4d8b-9148-e3be6c30e623}">
          <xlrd:rvb i="1816"/>
        </ext>
      </extLst>
    </bk>
    <bk>
      <extLst>
        <ext uri="{3e2802c4-a4d2-4d8b-9148-e3be6c30e623}">
          <xlrd:rvb i="1817"/>
        </ext>
      </extLst>
    </bk>
    <bk>
      <extLst>
        <ext uri="{3e2802c4-a4d2-4d8b-9148-e3be6c30e623}">
          <xlrd:rvb i="1818"/>
        </ext>
      </extLst>
    </bk>
    <bk>
      <extLst>
        <ext uri="{3e2802c4-a4d2-4d8b-9148-e3be6c30e623}">
          <xlrd:rvb i="1819"/>
        </ext>
      </extLst>
    </bk>
    <bk>
      <extLst>
        <ext uri="{3e2802c4-a4d2-4d8b-9148-e3be6c30e623}">
          <xlrd:rvb i="1820"/>
        </ext>
      </extLst>
    </bk>
    <bk>
      <extLst>
        <ext uri="{3e2802c4-a4d2-4d8b-9148-e3be6c30e623}">
          <xlrd:rvb i="1821"/>
        </ext>
      </extLst>
    </bk>
    <bk>
      <extLst>
        <ext uri="{3e2802c4-a4d2-4d8b-9148-e3be6c30e623}">
          <xlrd:rvb i="1822"/>
        </ext>
      </extLst>
    </bk>
    <bk>
      <extLst>
        <ext uri="{3e2802c4-a4d2-4d8b-9148-e3be6c30e623}">
          <xlrd:rvb i="1823"/>
        </ext>
      </extLst>
    </bk>
    <bk>
      <extLst>
        <ext uri="{3e2802c4-a4d2-4d8b-9148-e3be6c30e623}">
          <xlrd:rvb i="1824"/>
        </ext>
      </extLst>
    </bk>
    <bk>
      <extLst>
        <ext uri="{3e2802c4-a4d2-4d8b-9148-e3be6c30e623}">
          <xlrd:rvb i="1825"/>
        </ext>
      </extLst>
    </bk>
    <bk>
      <extLst>
        <ext uri="{3e2802c4-a4d2-4d8b-9148-e3be6c30e623}">
          <xlrd:rvb i="1826"/>
        </ext>
      </extLst>
    </bk>
    <bk>
      <extLst>
        <ext uri="{3e2802c4-a4d2-4d8b-9148-e3be6c30e623}">
          <xlrd:rvb i="1827"/>
        </ext>
      </extLst>
    </bk>
    <bk>
      <extLst>
        <ext uri="{3e2802c4-a4d2-4d8b-9148-e3be6c30e623}">
          <xlrd:rvb i="1828"/>
        </ext>
      </extLst>
    </bk>
    <bk>
      <extLst>
        <ext uri="{3e2802c4-a4d2-4d8b-9148-e3be6c30e623}">
          <xlrd:rvb i="1829"/>
        </ext>
      </extLst>
    </bk>
    <bk>
      <extLst>
        <ext uri="{3e2802c4-a4d2-4d8b-9148-e3be6c30e623}">
          <xlrd:rvb i="1830"/>
        </ext>
      </extLst>
    </bk>
    <bk>
      <extLst>
        <ext uri="{3e2802c4-a4d2-4d8b-9148-e3be6c30e623}">
          <xlrd:rvb i="1831"/>
        </ext>
      </extLst>
    </bk>
    <bk>
      <extLst>
        <ext uri="{3e2802c4-a4d2-4d8b-9148-e3be6c30e623}">
          <xlrd:rvb i="1832"/>
        </ext>
      </extLst>
    </bk>
    <bk>
      <extLst>
        <ext uri="{3e2802c4-a4d2-4d8b-9148-e3be6c30e623}">
          <xlrd:rvb i="1833"/>
        </ext>
      </extLst>
    </bk>
    <bk>
      <extLst>
        <ext uri="{3e2802c4-a4d2-4d8b-9148-e3be6c30e623}">
          <xlrd:rvb i="1834"/>
        </ext>
      </extLst>
    </bk>
    <bk>
      <extLst>
        <ext uri="{3e2802c4-a4d2-4d8b-9148-e3be6c30e623}">
          <xlrd:rvb i="1835"/>
        </ext>
      </extLst>
    </bk>
    <bk>
      <extLst>
        <ext uri="{3e2802c4-a4d2-4d8b-9148-e3be6c30e623}">
          <xlrd:rvb i="1836"/>
        </ext>
      </extLst>
    </bk>
    <bk>
      <extLst>
        <ext uri="{3e2802c4-a4d2-4d8b-9148-e3be6c30e623}">
          <xlrd:rvb i="1837"/>
        </ext>
      </extLst>
    </bk>
    <bk>
      <extLst>
        <ext uri="{3e2802c4-a4d2-4d8b-9148-e3be6c30e623}">
          <xlrd:rvb i="1838"/>
        </ext>
      </extLst>
    </bk>
    <bk>
      <extLst>
        <ext uri="{3e2802c4-a4d2-4d8b-9148-e3be6c30e623}">
          <xlrd:rvb i="1839"/>
        </ext>
      </extLst>
    </bk>
    <bk>
      <extLst>
        <ext uri="{3e2802c4-a4d2-4d8b-9148-e3be6c30e623}">
          <xlrd:rvb i="1840"/>
        </ext>
      </extLst>
    </bk>
    <bk>
      <extLst>
        <ext uri="{3e2802c4-a4d2-4d8b-9148-e3be6c30e623}">
          <xlrd:rvb i="1841"/>
        </ext>
      </extLst>
    </bk>
    <bk>
      <extLst>
        <ext uri="{3e2802c4-a4d2-4d8b-9148-e3be6c30e623}">
          <xlrd:rvb i="1842"/>
        </ext>
      </extLst>
    </bk>
    <bk>
      <extLst>
        <ext uri="{3e2802c4-a4d2-4d8b-9148-e3be6c30e623}">
          <xlrd:rvb i="1843"/>
        </ext>
      </extLst>
    </bk>
    <bk>
      <extLst>
        <ext uri="{3e2802c4-a4d2-4d8b-9148-e3be6c30e623}">
          <xlrd:rvb i="1844"/>
        </ext>
      </extLst>
    </bk>
    <bk>
      <extLst>
        <ext uri="{3e2802c4-a4d2-4d8b-9148-e3be6c30e623}">
          <xlrd:rvb i="1845"/>
        </ext>
      </extLst>
    </bk>
    <bk>
      <extLst>
        <ext uri="{3e2802c4-a4d2-4d8b-9148-e3be6c30e623}">
          <xlrd:rvb i="1846"/>
        </ext>
      </extLst>
    </bk>
    <bk>
      <extLst>
        <ext uri="{3e2802c4-a4d2-4d8b-9148-e3be6c30e623}">
          <xlrd:rvb i="1847"/>
        </ext>
      </extLst>
    </bk>
    <bk>
      <extLst>
        <ext uri="{3e2802c4-a4d2-4d8b-9148-e3be6c30e623}">
          <xlrd:rvb i="1848"/>
        </ext>
      </extLst>
    </bk>
    <bk>
      <extLst>
        <ext uri="{3e2802c4-a4d2-4d8b-9148-e3be6c30e623}">
          <xlrd:rvb i="1849"/>
        </ext>
      </extLst>
    </bk>
    <bk>
      <extLst>
        <ext uri="{3e2802c4-a4d2-4d8b-9148-e3be6c30e623}">
          <xlrd:rvb i="1850"/>
        </ext>
      </extLst>
    </bk>
    <bk>
      <extLst>
        <ext uri="{3e2802c4-a4d2-4d8b-9148-e3be6c30e623}">
          <xlrd:rvb i="1851"/>
        </ext>
      </extLst>
    </bk>
    <bk>
      <extLst>
        <ext uri="{3e2802c4-a4d2-4d8b-9148-e3be6c30e623}">
          <xlrd:rvb i="1852"/>
        </ext>
      </extLst>
    </bk>
    <bk>
      <extLst>
        <ext uri="{3e2802c4-a4d2-4d8b-9148-e3be6c30e623}">
          <xlrd:rvb i="1853"/>
        </ext>
      </extLst>
    </bk>
    <bk>
      <extLst>
        <ext uri="{3e2802c4-a4d2-4d8b-9148-e3be6c30e623}">
          <xlrd:rvb i="1854"/>
        </ext>
      </extLst>
    </bk>
    <bk>
      <extLst>
        <ext uri="{3e2802c4-a4d2-4d8b-9148-e3be6c30e623}">
          <xlrd:rvb i="1855"/>
        </ext>
      </extLst>
    </bk>
    <bk>
      <extLst>
        <ext uri="{3e2802c4-a4d2-4d8b-9148-e3be6c30e623}">
          <xlrd:rvb i="1856"/>
        </ext>
      </extLst>
    </bk>
    <bk>
      <extLst>
        <ext uri="{3e2802c4-a4d2-4d8b-9148-e3be6c30e623}">
          <xlrd:rvb i="1857"/>
        </ext>
      </extLst>
    </bk>
    <bk>
      <extLst>
        <ext uri="{3e2802c4-a4d2-4d8b-9148-e3be6c30e623}">
          <xlrd:rvb i="1858"/>
        </ext>
      </extLst>
    </bk>
    <bk>
      <extLst>
        <ext uri="{3e2802c4-a4d2-4d8b-9148-e3be6c30e623}">
          <xlrd:rvb i="1859"/>
        </ext>
      </extLst>
    </bk>
    <bk>
      <extLst>
        <ext uri="{3e2802c4-a4d2-4d8b-9148-e3be6c30e623}">
          <xlrd:rvb i="1860"/>
        </ext>
      </extLst>
    </bk>
    <bk>
      <extLst>
        <ext uri="{3e2802c4-a4d2-4d8b-9148-e3be6c30e623}">
          <xlrd:rvb i="1861"/>
        </ext>
      </extLst>
    </bk>
    <bk>
      <extLst>
        <ext uri="{3e2802c4-a4d2-4d8b-9148-e3be6c30e623}">
          <xlrd:rvb i="1862"/>
        </ext>
      </extLst>
    </bk>
    <bk>
      <extLst>
        <ext uri="{3e2802c4-a4d2-4d8b-9148-e3be6c30e623}">
          <xlrd:rvb i="1863"/>
        </ext>
      </extLst>
    </bk>
    <bk>
      <extLst>
        <ext uri="{3e2802c4-a4d2-4d8b-9148-e3be6c30e623}">
          <xlrd:rvb i="1864"/>
        </ext>
      </extLst>
    </bk>
    <bk>
      <extLst>
        <ext uri="{3e2802c4-a4d2-4d8b-9148-e3be6c30e623}">
          <xlrd:rvb i="1865"/>
        </ext>
      </extLst>
    </bk>
    <bk>
      <extLst>
        <ext uri="{3e2802c4-a4d2-4d8b-9148-e3be6c30e623}">
          <xlrd:rvb i="1866"/>
        </ext>
      </extLst>
    </bk>
    <bk>
      <extLst>
        <ext uri="{3e2802c4-a4d2-4d8b-9148-e3be6c30e623}">
          <xlrd:rvb i="1867"/>
        </ext>
      </extLst>
    </bk>
    <bk>
      <extLst>
        <ext uri="{3e2802c4-a4d2-4d8b-9148-e3be6c30e623}">
          <xlrd:rvb i="1868"/>
        </ext>
      </extLst>
    </bk>
    <bk>
      <extLst>
        <ext uri="{3e2802c4-a4d2-4d8b-9148-e3be6c30e623}">
          <xlrd:rvb i="1869"/>
        </ext>
      </extLst>
    </bk>
    <bk>
      <extLst>
        <ext uri="{3e2802c4-a4d2-4d8b-9148-e3be6c30e623}">
          <xlrd:rvb i="1870"/>
        </ext>
      </extLst>
    </bk>
    <bk>
      <extLst>
        <ext uri="{3e2802c4-a4d2-4d8b-9148-e3be6c30e623}">
          <xlrd:rvb i="1871"/>
        </ext>
      </extLst>
    </bk>
    <bk>
      <extLst>
        <ext uri="{3e2802c4-a4d2-4d8b-9148-e3be6c30e623}">
          <xlrd:rvb i="1872"/>
        </ext>
      </extLst>
    </bk>
    <bk>
      <extLst>
        <ext uri="{3e2802c4-a4d2-4d8b-9148-e3be6c30e623}">
          <xlrd:rvb i="1873"/>
        </ext>
      </extLst>
    </bk>
    <bk>
      <extLst>
        <ext uri="{3e2802c4-a4d2-4d8b-9148-e3be6c30e623}">
          <xlrd:rvb i="1874"/>
        </ext>
      </extLst>
    </bk>
    <bk>
      <extLst>
        <ext uri="{3e2802c4-a4d2-4d8b-9148-e3be6c30e623}">
          <xlrd:rvb i="1875"/>
        </ext>
      </extLst>
    </bk>
    <bk>
      <extLst>
        <ext uri="{3e2802c4-a4d2-4d8b-9148-e3be6c30e623}">
          <xlrd:rvb i="1876"/>
        </ext>
      </extLst>
    </bk>
    <bk>
      <extLst>
        <ext uri="{3e2802c4-a4d2-4d8b-9148-e3be6c30e623}">
          <xlrd:rvb i="1877"/>
        </ext>
      </extLst>
    </bk>
    <bk>
      <extLst>
        <ext uri="{3e2802c4-a4d2-4d8b-9148-e3be6c30e623}">
          <xlrd:rvb i="1878"/>
        </ext>
      </extLst>
    </bk>
    <bk>
      <extLst>
        <ext uri="{3e2802c4-a4d2-4d8b-9148-e3be6c30e623}">
          <xlrd:rvb i="1879"/>
        </ext>
      </extLst>
    </bk>
    <bk>
      <extLst>
        <ext uri="{3e2802c4-a4d2-4d8b-9148-e3be6c30e623}">
          <xlrd:rvb i="1880"/>
        </ext>
      </extLst>
    </bk>
    <bk>
      <extLst>
        <ext uri="{3e2802c4-a4d2-4d8b-9148-e3be6c30e623}">
          <xlrd:rvb i="1881"/>
        </ext>
      </extLst>
    </bk>
    <bk>
      <extLst>
        <ext uri="{3e2802c4-a4d2-4d8b-9148-e3be6c30e623}">
          <xlrd:rvb i="1882"/>
        </ext>
      </extLst>
    </bk>
    <bk>
      <extLst>
        <ext uri="{3e2802c4-a4d2-4d8b-9148-e3be6c30e623}">
          <xlrd:rvb i="1883"/>
        </ext>
      </extLst>
    </bk>
    <bk>
      <extLst>
        <ext uri="{3e2802c4-a4d2-4d8b-9148-e3be6c30e623}">
          <xlrd:rvb i="1884"/>
        </ext>
      </extLst>
    </bk>
    <bk>
      <extLst>
        <ext uri="{3e2802c4-a4d2-4d8b-9148-e3be6c30e623}">
          <xlrd:rvb i="1885"/>
        </ext>
      </extLst>
    </bk>
    <bk>
      <extLst>
        <ext uri="{3e2802c4-a4d2-4d8b-9148-e3be6c30e623}">
          <xlrd:rvb i="1886"/>
        </ext>
      </extLst>
    </bk>
    <bk>
      <extLst>
        <ext uri="{3e2802c4-a4d2-4d8b-9148-e3be6c30e623}">
          <xlrd:rvb i="1887"/>
        </ext>
      </extLst>
    </bk>
    <bk>
      <extLst>
        <ext uri="{3e2802c4-a4d2-4d8b-9148-e3be6c30e623}">
          <xlrd:rvb i="1888"/>
        </ext>
      </extLst>
    </bk>
    <bk>
      <extLst>
        <ext uri="{3e2802c4-a4d2-4d8b-9148-e3be6c30e623}">
          <xlrd:rvb i="1889"/>
        </ext>
      </extLst>
    </bk>
    <bk>
      <extLst>
        <ext uri="{3e2802c4-a4d2-4d8b-9148-e3be6c30e623}">
          <xlrd:rvb i="1890"/>
        </ext>
      </extLst>
    </bk>
    <bk>
      <extLst>
        <ext uri="{3e2802c4-a4d2-4d8b-9148-e3be6c30e623}">
          <xlrd:rvb i="1891"/>
        </ext>
      </extLst>
    </bk>
    <bk>
      <extLst>
        <ext uri="{3e2802c4-a4d2-4d8b-9148-e3be6c30e623}">
          <xlrd:rvb i="1892"/>
        </ext>
      </extLst>
    </bk>
    <bk>
      <extLst>
        <ext uri="{3e2802c4-a4d2-4d8b-9148-e3be6c30e623}">
          <xlrd:rvb i="1893"/>
        </ext>
      </extLst>
    </bk>
    <bk>
      <extLst>
        <ext uri="{3e2802c4-a4d2-4d8b-9148-e3be6c30e623}">
          <xlrd:rvb i="1894"/>
        </ext>
      </extLst>
    </bk>
    <bk>
      <extLst>
        <ext uri="{3e2802c4-a4d2-4d8b-9148-e3be6c30e623}">
          <xlrd:rvb i="1895"/>
        </ext>
      </extLst>
    </bk>
    <bk>
      <extLst>
        <ext uri="{3e2802c4-a4d2-4d8b-9148-e3be6c30e623}">
          <xlrd:rvb i="1896"/>
        </ext>
      </extLst>
    </bk>
    <bk>
      <extLst>
        <ext uri="{3e2802c4-a4d2-4d8b-9148-e3be6c30e623}">
          <xlrd:rvb i="1897"/>
        </ext>
      </extLst>
    </bk>
    <bk>
      <extLst>
        <ext uri="{3e2802c4-a4d2-4d8b-9148-e3be6c30e623}">
          <xlrd:rvb i="1898"/>
        </ext>
      </extLst>
    </bk>
    <bk>
      <extLst>
        <ext uri="{3e2802c4-a4d2-4d8b-9148-e3be6c30e623}">
          <xlrd:rvb i="1899"/>
        </ext>
      </extLst>
    </bk>
    <bk>
      <extLst>
        <ext uri="{3e2802c4-a4d2-4d8b-9148-e3be6c30e623}">
          <xlrd:rvb i="1900"/>
        </ext>
      </extLst>
    </bk>
    <bk>
      <extLst>
        <ext uri="{3e2802c4-a4d2-4d8b-9148-e3be6c30e623}">
          <xlrd:rvb i="1901"/>
        </ext>
      </extLst>
    </bk>
    <bk>
      <extLst>
        <ext uri="{3e2802c4-a4d2-4d8b-9148-e3be6c30e623}">
          <xlrd:rvb i="1902"/>
        </ext>
      </extLst>
    </bk>
    <bk>
      <extLst>
        <ext uri="{3e2802c4-a4d2-4d8b-9148-e3be6c30e623}">
          <xlrd:rvb i="1903"/>
        </ext>
      </extLst>
    </bk>
    <bk>
      <extLst>
        <ext uri="{3e2802c4-a4d2-4d8b-9148-e3be6c30e623}">
          <xlrd:rvb i="1904"/>
        </ext>
      </extLst>
    </bk>
    <bk>
      <extLst>
        <ext uri="{3e2802c4-a4d2-4d8b-9148-e3be6c30e623}">
          <xlrd:rvb i="1905"/>
        </ext>
      </extLst>
    </bk>
    <bk>
      <extLst>
        <ext uri="{3e2802c4-a4d2-4d8b-9148-e3be6c30e623}">
          <xlrd:rvb i="1906"/>
        </ext>
      </extLst>
    </bk>
    <bk>
      <extLst>
        <ext uri="{3e2802c4-a4d2-4d8b-9148-e3be6c30e623}">
          <xlrd:rvb i="1907"/>
        </ext>
      </extLst>
    </bk>
    <bk>
      <extLst>
        <ext uri="{3e2802c4-a4d2-4d8b-9148-e3be6c30e623}">
          <xlrd:rvb i="1908"/>
        </ext>
      </extLst>
    </bk>
    <bk>
      <extLst>
        <ext uri="{3e2802c4-a4d2-4d8b-9148-e3be6c30e623}">
          <xlrd:rvb i="1909"/>
        </ext>
      </extLst>
    </bk>
    <bk>
      <extLst>
        <ext uri="{3e2802c4-a4d2-4d8b-9148-e3be6c30e623}">
          <xlrd:rvb i="1910"/>
        </ext>
      </extLst>
    </bk>
    <bk>
      <extLst>
        <ext uri="{3e2802c4-a4d2-4d8b-9148-e3be6c30e623}">
          <xlrd:rvb i="1911"/>
        </ext>
      </extLst>
    </bk>
    <bk>
      <extLst>
        <ext uri="{3e2802c4-a4d2-4d8b-9148-e3be6c30e623}">
          <xlrd:rvb i="1912"/>
        </ext>
      </extLst>
    </bk>
    <bk>
      <extLst>
        <ext uri="{3e2802c4-a4d2-4d8b-9148-e3be6c30e623}">
          <xlrd:rvb i="1913"/>
        </ext>
      </extLst>
    </bk>
    <bk>
      <extLst>
        <ext uri="{3e2802c4-a4d2-4d8b-9148-e3be6c30e623}">
          <xlrd:rvb i="1914"/>
        </ext>
      </extLst>
    </bk>
    <bk>
      <extLst>
        <ext uri="{3e2802c4-a4d2-4d8b-9148-e3be6c30e623}">
          <xlrd:rvb i="1915"/>
        </ext>
      </extLst>
    </bk>
    <bk>
      <extLst>
        <ext uri="{3e2802c4-a4d2-4d8b-9148-e3be6c30e623}">
          <xlrd:rvb i="1916"/>
        </ext>
      </extLst>
    </bk>
    <bk>
      <extLst>
        <ext uri="{3e2802c4-a4d2-4d8b-9148-e3be6c30e623}">
          <xlrd:rvb i="1917"/>
        </ext>
      </extLst>
    </bk>
    <bk>
      <extLst>
        <ext uri="{3e2802c4-a4d2-4d8b-9148-e3be6c30e623}">
          <xlrd:rvb i="1918"/>
        </ext>
      </extLst>
    </bk>
    <bk>
      <extLst>
        <ext uri="{3e2802c4-a4d2-4d8b-9148-e3be6c30e623}">
          <xlrd:rvb i="1919"/>
        </ext>
      </extLst>
    </bk>
    <bk>
      <extLst>
        <ext uri="{3e2802c4-a4d2-4d8b-9148-e3be6c30e623}">
          <xlrd:rvb i="1920"/>
        </ext>
      </extLst>
    </bk>
    <bk>
      <extLst>
        <ext uri="{3e2802c4-a4d2-4d8b-9148-e3be6c30e623}">
          <xlrd:rvb i="1921"/>
        </ext>
      </extLst>
    </bk>
    <bk>
      <extLst>
        <ext uri="{3e2802c4-a4d2-4d8b-9148-e3be6c30e623}">
          <xlrd:rvb i="1922"/>
        </ext>
      </extLst>
    </bk>
    <bk>
      <extLst>
        <ext uri="{3e2802c4-a4d2-4d8b-9148-e3be6c30e623}">
          <xlrd:rvb i="1923"/>
        </ext>
      </extLst>
    </bk>
    <bk>
      <extLst>
        <ext uri="{3e2802c4-a4d2-4d8b-9148-e3be6c30e623}">
          <xlrd:rvb i="1924"/>
        </ext>
      </extLst>
    </bk>
    <bk>
      <extLst>
        <ext uri="{3e2802c4-a4d2-4d8b-9148-e3be6c30e623}">
          <xlrd:rvb i="1925"/>
        </ext>
      </extLst>
    </bk>
    <bk>
      <extLst>
        <ext uri="{3e2802c4-a4d2-4d8b-9148-e3be6c30e623}">
          <xlrd:rvb i="1926"/>
        </ext>
      </extLst>
    </bk>
    <bk>
      <extLst>
        <ext uri="{3e2802c4-a4d2-4d8b-9148-e3be6c30e623}">
          <xlrd:rvb i="1927"/>
        </ext>
      </extLst>
    </bk>
    <bk>
      <extLst>
        <ext uri="{3e2802c4-a4d2-4d8b-9148-e3be6c30e623}">
          <xlrd:rvb i="1928"/>
        </ext>
      </extLst>
    </bk>
    <bk>
      <extLst>
        <ext uri="{3e2802c4-a4d2-4d8b-9148-e3be6c30e623}">
          <xlrd:rvb i="1929"/>
        </ext>
      </extLst>
    </bk>
    <bk>
      <extLst>
        <ext uri="{3e2802c4-a4d2-4d8b-9148-e3be6c30e623}">
          <xlrd:rvb i="1930"/>
        </ext>
      </extLst>
    </bk>
    <bk>
      <extLst>
        <ext uri="{3e2802c4-a4d2-4d8b-9148-e3be6c30e623}">
          <xlrd:rvb i="1931"/>
        </ext>
      </extLst>
    </bk>
    <bk>
      <extLst>
        <ext uri="{3e2802c4-a4d2-4d8b-9148-e3be6c30e623}">
          <xlrd:rvb i="1932"/>
        </ext>
      </extLst>
    </bk>
    <bk>
      <extLst>
        <ext uri="{3e2802c4-a4d2-4d8b-9148-e3be6c30e623}">
          <xlrd:rvb i="1933"/>
        </ext>
      </extLst>
    </bk>
    <bk>
      <extLst>
        <ext uri="{3e2802c4-a4d2-4d8b-9148-e3be6c30e623}">
          <xlrd:rvb i="1934"/>
        </ext>
      </extLst>
    </bk>
    <bk>
      <extLst>
        <ext uri="{3e2802c4-a4d2-4d8b-9148-e3be6c30e623}">
          <xlrd:rvb i="1935"/>
        </ext>
      </extLst>
    </bk>
    <bk>
      <extLst>
        <ext uri="{3e2802c4-a4d2-4d8b-9148-e3be6c30e623}">
          <xlrd:rvb i="1936"/>
        </ext>
      </extLst>
    </bk>
    <bk>
      <extLst>
        <ext uri="{3e2802c4-a4d2-4d8b-9148-e3be6c30e623}">
          <xlrd:rvb i="1937"/>
        </ext>
      </extLst>
    </bk>
    <bk>
      <extLst>
        <ext uri="{3e2802c4-a4d2-4d8b-9148-e3be6c30e623}">
          <xlrd:rvb i="1938"/>
        </ext>
      </extLst>
    </bk>
    <bk>
      <extLst>
        <ext uri="{3e2802c4-a4d2-4d8b-9148-e3be6c30e623}">
          <xlrd:rvb i="1939"/>
        </ext>
      </extLst>
    </bk>
    <bk>
      <extLst>
        <ext uri="{3e2802c4-a4d2-4d8b-9148-e3be6c30e623}">
          <xlrd:rvb i="1940"/>
        </ext>
      </extLst>
    </bk>
    <bk>
      <extLst>
        <ext uri="{3e2802c4-a4d2-4d8b-9148-e3be6c30e623}">
          <xlrd:rvb i="1941"/>
        </ext>
      </extLst>
    </bk>
    <bk>
      <extLst>
        <ext uri="{3e2802c4-a4d2-4d8b-9148-e3be6c30e623}">
          <xlrd:rvb i="1942"/>
        </ext>
      </extLst>
    </bk>
    <bk>
      <extLst>
        <ext uri="{3e2802c4-a4d2-4d8b-9148-e3be6c30e623}">
          <xlrd:rvb i="1943"/>
        </ext>
      </extLst>
    </bk>
    <bk>
      <extLst>
        <ext uri="{3e2802c4-a4d2-4d8b-9148-e3be6c30e623}">
          <xlrd:rvb i="1944"/>
        </ext>
      </extLst>
    </bk>
    <bk>
      <extLst>
        <ext uri="{3e2802c4-a4d2-4d8b-9148-e3be6c30e623}">
          <xlrd:rvb i="1945"/>
        </ext>
      </extLst>
    </bk>
    <bk>
      <extLst>
        <ext uri="{3e2802c4-a4d2-4d8b-9148-e3be6c30e623}">
          <xlrd:rvb i="1946"/>
        </ext>
      </extLst>
    </bk>
    <bk>
      <extLst>
        <ext uri="{3e2802c4-a4d2-4d8b-9148-e3be6c30e623}">
          <xlrd:rvb i="1947"/>
        </ext>
      </extLst>
    </bk>
    <bk>
      <extLst>
        <ext uri="{3e2802c4-a4d2-4d8b-9148-e3be6c30e623}">
          <xlrd:rvb i="1948"/>
        </ext>
      </extLst>
    </bk>
    <bk>
      <extLst>
        <ext uri="{3e2802c4-a4d2-4d8b-9148-e3be6c30e623}">
          <xlrd:rvb i="1949"/>
        </ext>
      </extLst>
    </bk>
    <bk>
      <extLst>
        <ext uri="{3e2802c4-a4d2-4d8b-9148-e3be6c30e623}">
          <xlrd:rvb i="1950"/>
        </ext>
      </extLst>
    </bk>
    <bk>
      <extLst>
        <ext uri="{3e2802c4-a4d2-4d8b-9148-e3be6c30e623}">
          <xlrd:rvb i="1951"/>
        </ext>
      </extLst>
    </bk>
    <bk>
      <extLst>
        <ext uri="{3e2802c4-a4d2-4d8b-9148-e3be6c30e623}">
          <xlrd:rvb i="1952"/>
        </ext>
      </extLst>
    </bk>
    <bk>
      <extLst>
        <ext uri="{3e2802c4-a4d2-4d8b-9148-e3be6c30e623}">
          <xlrd:rvb i="1953"/>
        </ext>
      </extLst>
    </bk>
    <bk>
      <extLst>
        <ext uri="{3e2802c4-a4d2-4d8b-9148-e3be6c30e623}">
          <xlrd:rvb i="1954"/>
        </ext>
      </extLst>
    </bk>
    <bk>
      <extLst>
        <ext uri="{3e2802c4-a4d2-4d8b-9148-e3be6c30e623}">
          <xlrd:rvb i="1955"/>
        </ext>
      </extLst>
    </bk>
    <bk>
      <extLst>
        <ext uri="{3e2802c4-a4d2-4d8b-9148-e3be6c30e623}">
          <xlrd:rvb i="1956"/>
        </ext>
      </extLst>
    </bk>
    <bk>
      <extLst>
        <ext uri="{3e2802c4-a4d2-4d8b-9148-e3be6c30e623}">
          <xlrd:rvb i="1957"/>
        </ext>
      </extLst>
    </bk>
    <bk>
      <extLst>
        <ext uri="{3e2802c4-a4d2-4d8b-9148-e3be6c30e623}">
          <xlrd:rvb i="1958"/>
        </ext>
      </extLst>
    </bk>
    <bk>
      <extLst>
        <ext uri="{3e2802c4-a4d2-4d8b-9148-e3be6c30e623}">
          <xlrd:rvb i="1959"/>
        </ext>
      </extLst>
    </bk>
    <bk>
      <extLst>
        <ext uri="{3e2802c4-a4d2-4d8b-9148-e3be6c30e623}">
          <xlrd:rvb i="1960"/>
        </ext>
      </extLst>
    </bk>
    <bk>
      <extLst>
        <ext uri="{3e2802c4-a4d2-4d8b-9148-e3be6c30e623}">
          <xlrd:rvb i="1961"/>
        </ext>
      </extLst>
    </bk>
    <bk>
      <extLst>
        <ext uri="{3e2802c4-a4d2-4d8b-9148-e3be6c30e623}">
          <xlrd:rvb i="1962"/>
        </ext>
      </extLst>
    </bk>
    <bk>
      <extLst>
        <ext uri="{3e2802c4-a4d2-4d8b-9148-e3be6c30e623}">
          <xlrd:rvb i="1963"/>
        </ext>
      </extLst>
    </bk>
    <bk>
      <extLst>
        <ext uri="{3e2802c4-a4d2-4d8b-9148-e3be6c30e623}">
          <xlrd:rvb i="1964"/>
        </ext>
      </extLst>
    </bk>
    <bk>
      <extLst>
        <ext uri="{3e2802c4-a4d2-4d8b-9148-e3be6c30e623}">
          <xlrd:rvb i="1965"/>
        </ext>
      </extLst>
    </bk>
    <bk>
      <extLst>
        <ext uri="{3e2802c4-a4d2-4d8b-9148-e3be6c30e623}">
          <xlrd:rvb i="1966"/>
        </ext>
      </extLst>
    </bk>
    <bk>
      <extLst>
        <ext uri="{3e2802c4-a4d2-4d8b-9148-e3be6c30e623}">
          <xlrd:rvb i="1967"/>
        </ext>
      </extLst>
    </bk>
    <bk>
      <extLst>
        <ext uri="{3e2802c4-a4d2-4d8b-9148-e3be6c30e623}">
          <xlrd:rvb i="1968"/>
        </ext>
      </extLst>
    </bk>
    <bk>
      <extLst>
        <ext uri="{3e2802c4-a4d2-4d8b-9148-e3be6c30e623}">
          <xlrd:rvb i="1969"/>
        </ext>
      </extLst>
    </bk>
    <bk>
      <extLst>
        <ext uri="{3e2802c4-a4d2-4d8b-9148-e3be6c30e623}">
          <xlrd:rvb i="1970"/>
        </ext>
      </extLst>
    </bk>
    <bk>
      <extLst>
        <ext uri="{3e2802c4-a4d2-4d8b-9148-e3be6c30e623}">
          <xlrd:rvb i="1971"/>
        </ext>
      </extLst>
    </bk>
    <bk>
      <extLst>
        <ext uri="{3e2802c4-a4d2-4d8b-9148-e3be6c30e623}">
          <xlrd:rvb i="1972"/>
        </ext>
      </extLst>
    </bk>
    <bk>
      <extLst>
        <ext uri="{3e2802c4-a4d2-4d8b-9148-e3be6c30e623}">
          <xlrd:rvb i="1973"/>
        </ext>
      </extLst>
    </bk>
    <bk>
      <extLst>
        <ext uri="{3e2802c4-a4d2-4d8b-9148-e3be6c30e623}">
          <xlrd:rvb i="1974"/>
        </ext>
      </extLst>
    </bk>
    <bk>
      <extLst>
        <ext uri="{3e2802c4-a4d2-4d8b-9148-e3be6c30e623}">
          <xlrd:rvb i="1975"/>
        </ext>
      </extLst>
    </bk>
    <bk>
      <extLst>
        <ext uri="{3e2802c4-a4d2-4d8b-9148-e3be6c30e623}">
          <xlrd:rvb i="1976"/>
        </ext>
      </extLst>
    </bk>
    <bk>
      <extLst>
        <ext uri="{3e2802c4-a4d2-4d8b-9148-e3be6c30e623}">
          <xlrd:rvb i="1977"/>
        </ext>
      </extLst>
    </bk>
    <bk>
      <extLst>
        <ext uri="{3e2802c4-a4d2-4d8b-9148-e3be6c30e623}">
          <xlrd:rvb i="1978"/>
        </ext>
      </extLst>
    </bk>
    <bk>
      <extLst>
        <ext uri="{3e2802c4-a4d2-4d8b-9148-e3be6c30e623}">
          <xlrd:rvb i="1979"/>
        </ext>
      </extLst>
    </bk>
    <bk>
      <extLst>
        <ext uri="{3e2802c4-a4d2-4d8b-9148-e3be6c30e623}">
          <xlrd:rvb i="1980"/>
        </ext>
      </extLst>
    </bk>
    <bk>
      <extLst>
        <ext uri="{3e2802c4-a4d2-4d8b-9148-e3be6c30e623}">
          <xlrd:rvb i="1981"/>
        </ext>
      </extLst>
    </bk>
    <bk>
      <extLst>
        <ext uri="{3e2802c4-a4d2-4d8b-9148-e3be6c30e623}">
          <xlrd:rvb i="1982"/>
        </ext>
      </extLst>
    </bk>
    <bk>
      <extLst>
        <ext uri="{3e2802c4-a4d2-4d8b-9148-e3be6c30e623}">
          <xlrd:rvb i="1983"/>
        </ext>
      </extLst>
    </bk>
    <bk>
      <extLst>
        <ext uri="{3e2802c4-a4d2-4d8b-9148-e3be6c30e623}">
          <xlrd:rvb i="1984"/>
        </ext>
      </extLst>
    </bk>
    <bk>
      <extLst>
        <ext uri="{3e2802c4-a4d2-4d8b-9148-e3be6c30e623}">
          <xlrd:rvb i="1985"/>
        </ext>
      </extLst>
    </bk>
    <bk>
      <extLst>
        <ext uri="{3e2802c4-a4d2-4d8b-9148-e3be6c30e623}">
          <xlrd:rvb i="1986"/>
        </ext>
      </extLst>
    </bk>
    <bk>
      <extLst>
        <ext uri="{3e2802c4-a4d2-4d8b-9148-e3be6c30e623}">
          <xlrd:rvb i="1987"/>
        </ext>
      </extLst>
    </bk>
    <bk>
      <extLst>
        <ext uri="{3e2802c4-a4d2-4d8b-9148-e3be6c30e623}">
          <xlrd:rvb i="1988"/>
        </ext>
      </extLst>
    </bk>
    <bk>
      <extLst>
        <ext uri="{3e2802c4-a4d2-4d8b-9148-e3be6c30e623}">
          <xlrd:rvb i="1989"/>
        </ext>
      </extLst>
    </bk>
    <bk>
      <extLst>
        <ext uri="{3e2802c4-a4d2-4d8b-9148-e3be6c30e623}">
          <xlrd:rvb i="1990"/>
        </ext>
      </extLst>
    </bk>
    <bk>
      <extLst>
        <ext uri="{3e2802c4-a4d2-4d8b-9148-e3be6c30e623}">
          <xlrd:rvb i="1991"/>
        </ext>
      </extLst>
    </bk>
    <bk>
      <extLst>
        <ext uri="{3e2802c4-a4d2-4d8b-9148-e3be6c30e623}">
          <xlrd:rvb i="1992"/>
        </ext>
      </extLst>
    </bk>
    <bk>
      <extLst>
        <ext uri="{3e2802c4-a4d2-4d8b-9148-e3be6c30e623}">
          <xlrd:rvb i="1993"/>
        </ext>
      </extLst>
    </bk>
    <bk>
      <extLst>
        <ext uri="{3e2802c4-a4d2-4d8b-9148-e3be6c30e623}">
          <xlrd:rvb i="1994"/>
        </ext>
      </extLst>
    </bk>
    <bk>
      <extLst>
        <ext uri="{3e2802c4-a4d2-4d8b-9148-e3be6c30e623}">
          <xlrd:rvb i="1995"/>
        </ext>
      </extLst>
    </bk>
    <bk>
      <extLst>
        <ext uri="{3e2802c4-a4d2-4d8b-9148-e3be6c30e623}">
          <xlrd:rvb i="1996"/>
        </ext>
      </extLst>
    </bk>
    <bk>
      <extLst>
        <ext uri="{3e2802c4-a4d2-4d8b-9148-e3be6c30e623}">
          <xlrd:rvb i="1997"/>
        </ext>
      </extLst>
    </bk>
    <bk>
      <extLst>
        <ext uri="{3e2802c4-a4d2-4d8b-9148-e3be6c30e623}">
          <xlrd:rvb i="1998"/>
        </ext>
      </extLst>
    </bk>
    <bk>
      <extLst>
        <ext uri="{3e2802c4-a4d2-4d8b-9148-e3be6c30e623}">
          <xlrd:rvb i="1999"/>
        </ext>
      </extLst>
    </bk>
    <bk>
      <extLst>
        <ext uri="{3e2802c4-a4d2-4d8b-9148-e3be6c30e623}">
          <xlrd:rvb i="2000"/>
        </ext>
      </extLst>
    </bk>
    <bk>
      <extLst>
        <ext uri="{3e2802c4-a4d2-4d8b-9148-e3be6c30e623}">
          <xlrd:rvb i="2001"/>
        </ext>
      </extLst>
    </bk>
    <bk>
      <extLst>
        <ext uri="{3e2802c4-a4d2-4d8b-9148-e3be6c30e623}">
          <xlrd:rvb i="2002"/>
        </ext>
      </extLst>
    </bk>
    <bk>
      <extLst>
        <ext uri="{3e2802c4-a4d2-4d8b-9148-e3be6c30e623}">
          <xlrd:rvb i="2003"/>
        </ext>
      </extLst>
    </bk>
    <bk>
      <extLst>
        <ext uri="{3e2802c4-a4d2-4d8b-9148-e3be6c30e623}">
          <xlrd:rvb i="2004"/>
        </ext>
      </extLst>
    </bk>
    <bk>
      <extLst>
        <ext uri="{3e2802c4-a4d2-4d8b-9148-e3be6c30e623}">
          <xlrd:rvb i="2005"/>
        </ext>
      </extLst>
    </bk>
    <bk>
      <extLst>
        <ext uri="{3e2802c4-a4d2-4d8b-9148-e3be6c30e623}">
          <xlrd:rvb i="2006"/>
        </ext>
      </extLst>
    </bk>
    <bk>
      <extLst>
        <ext uri="{3e2802c4-a4d2-4d8b-9148-e3be6c30e623}">
          <xlrd:rvb i="2007"/>
        </ext>
      </extLst>
    </bk>
    <bk>
      <extLst>
        <ext uri="{3e2802c4-a4d2-4d8b-9148-e3be6c30e623}">
          <xlrd:rvb i="2008"/>
        </ext>
      </extLst>
    </bk>
    <bk>
      <extLst>
        <ext uri="{3e2802c4-a4d2-4d8b-9148-e3be6c30e623}">
          <xlrd:rvb i="2009"/>
        </ext>
      </extLst>
    </bk>
    <bk>
      <extLst>
        <ext uri="{3e2802c4-a4d2-4d8b-9148-e3be6c30e623}">
          <xlrd:rvb i="2010"/>
        </ext>
      </extLst>
    </bk>
    <bk>
      <extLst>
        <ext uri="{3e2802c4-a4d2-4d8b-9148-e3be6c30e623}">
          <xlrd:rvb i="2011"/>
        </ext>
      </extLst>
    </bk>
    <bk>
      <extLst>
        <ext uri="{3e2802c4-a4d2-4d8b-9148-e3be6c30e623}">
          <xlrd:rvb i="2012"/>
        </ext>
      </extLst>
    </bk>
    <bk>
      <extLst>
        <ext uri="{3e2802c4-a4d2-4d8b-9148-e3be6c30e623}">
          <xlrd:rvb i="2013"/>
        </ext>
      </extLst>
    </bk>
    <bk>
      <extLst>
        <ext uri="{3e2802c4-a4d2-4d8b-9148-e3be6c30e623}">
          <xlrd:rvb i="2014"/>
        </ext>
      </extLst>
    </bk>
    <bk>
      <extLst>
        <ext uri="{3e2802c4-a4d2-4d8b-9148-e3be6c30e623}">
          <xlrd:rvb i="2015"/>
        </ext>
      </extLst>
    </bk>
    <bk>
      <extLst>
        <ext uri="{3e2802c4-a4d2-4d8b-9148-e3be6c30e623}">
          <xlrd:rvb i="2016"/>
        </ext>
      </extLst>
    </bk>
    <bk>
      <extLst>
        <ext uri="{3e2802c4-a4d2-4d8b-9148-e3be6c30e623}">
          <xlrd:rvb i="2017"/>
        </ext>
      </extLst>
    </bk>
    <bk>
      <extLst>
        <ext uri="{3e2802c4-a4d2-4d8b-9148-e3be6c30e623}">
          <xlrd:rvb i="2018"/>
        </ext>
      </extLst>
    </bk>
    <bk>
      <extLst>
        <ext uri="{3e2802c4-a4d2-4d8b-9148-e3be6c30e623}">
          <xlrd:rvb i="2019"/>
        </ext>
      </extLst>
    </bk>
    <bk>
      <extLst>
        <ext uri="{3e2802c4-a4d2-4d8b-9148-e3be6c30e623}">
          <xlrd:rvb i="2020"/>
        </ext>
      </extLst>
    </bk>
    <bk>
      <extLst>
        <ext uri="{3e2802c4-a4d2-4d8b-9148-e3be6c30e623}">
          <xlrd:rvb i="2021"/>
        </ext>
      </extLst>
    </bk>
    <bk>
      <extLst>
        <ext uri="{3e2802c4-a4d2-4d8b-9148-e3be6c30e623}">
          <xlrd:rvb i="2022"/>
        </ext>
      </extLst>
    </bk>
    <bk>
      <extLst>
        <ext uri="{3e2802c4-a4d2-4d8b-9148-e3be6c30e623}">
          <xlrd:rvb i="2023"/>
        </ext>
      </extLst>
    </bk>
    <bk>
      <extLst>
        <ext uri="{3e2802c4-a4d2-4d8b-9148-e3be6c30e623}">
          <xlrd:rvb i="2024"/>
        </ext>
      </extLst>
    </bk>
    <bk>
      <extLst>
        <ext uri="{3e2802c4-a4d2-4d8b-9148-e3be6c30e623}">
          <xlrd:rvb i="2025"/>
        </ext>
      </extLst>
    </bk>
    <bk>
      <extLst>
        <ext uri="{3e2802c4-a4d2-4d8b-9148-e3be6c30e623}">
          <xlrd:rvb i="2026"/>
        </ext>
      </extLst>
    </bk>
    <bk>
      <extLst>
        <ext uri="{3e2802c4-a4d2-4d8b-9148-e3be6c30e623}">
          <xlrd:rvb i="2027"/>
        </ext>
      </extLst>
    </bk>
    <bk>
      <extLst>
        <ext uri="{3e2802c4-a4d2-4d8b-9148-e3be6c30e623}">
          <xlrd:rvb i="2028"/>
        </ext>
      </extLst>
    </bk>
    <bk>
      <extLst>
        <ext uri="{3e2802c4-a4d2-4d8b-9148-e3be6c30e623}">
          <xlrd:rvb i="2029"/>
        </ext>
      </extLst>
    </bk>
    <bk>
      <extLst>
        <ext uri="{3e2802c4-a4d2-4d8b-9148-e3be6c30e623}">
          <xlrd:rvb i="2030"/>
        </ext>
      </extLst>
    </bk>
    <bk>
      <extLst>
        <ext uri="{3e2802c4-a4d2-4d8b-9148-e3be6c30e623}">
          <xlrd:rvb i="2031"/>
        </ext>
      </extLst>
    </bk>
    <bk>
      <extLst>
        <ext uri="{3e2802c4-a4d2-4d8b-9148-e3be6c30e623}">
          <xlrd:rvb i="2032"/>
        </ext>
      </extLst>
    </bk>
    <bk>
      <extLst>
        <ext uri="{3e2802c4-a4d2-4d8b-9148-e3be6c30e623}">
          <xlrd:rvb i="2033"/>
        </ext>
      </extLst>
    </bk>
    <bk>
      <extLst>
        <ext uri="{3e2802c4-a4d2-4d8b-9148-e3be6c30e623}">
          <xlrd:rvb i="2034"/>
        </ext>
      </extLst>
    </bk>
    <bk>
      <extLst>
        <ext uri="{3e2802c4-a4d2-4d8b-9148-e3be6c30e623}">
          <xlrd:rvb i="2035"/>
        </ext>
      </extLst>
    </bk>
    <bk>
      <extLst>
        <ext uri="{3e2802c4-a4d2-4d8b-9148-e3be6c30e623}">
          <xlrd:rvb i="2036"/>
        </ext>
      </extLst>
    </bk>
    <bk>
      <extLst>
        <ext uri="{3e2802c4-a4d2-4d8b-9148-e3be6c30e623}">
          <xlrd:rvb i="2037"/>
        </ext>
      </extLst>
    </bk>
    <bk>
      <extLst>
        <ext uri="{3e2802c4-a4d2-4d8b-9148-e3be6c30e623}">
          <xlrd:rvb i="2038"/>
        </ext>
      </extLst>
    </bk>
    <bk>
      <extLst>
        <ext uri="{3e2802c4-a4d2-4d8b-9148-e3be6c30e623}">
          <xlrd:rvb i="2039"/>
        </ext>
      </extLst>
    </bk>
    <bk>
      <extLst>
        <ext uri="{3e2802c4-a4d2-4d8b-9148-e3be6c30e623}">
          <xlrd:rvb i="2040"/>
        </ext>
      </extLst>
    </bk>
    <bk>
      <extLst>
        <ext uri="{3e2802c4-a4d2-4d8b-9148-e3be6c30e623}">
          <xlrd:rvb i="2041"/>
        </ext>
      </extLst>
    </bk>
    <bk>
      <extLst>
        <ext uri="{3e2802c4-a4d2-4d8b-9148-e3be6c30e623}">
          <xlrd:rvb i="2042"/>
        </ext>
      </extLst>
    </bk>
    <bk>
      <extLst>
        <ext uri="{3e2802c4-a4d2-4d8b-9148-e3be6c30e623}">
          <xlrd:rvb i="2043"/>
        </ext>
      </extLst>
    </bk>
    <bk>
      <extLst>
        <ext uri="{3e2802c4-a4d2-4d8b-9148-e3be6c30e623}">
          <xlrd:rvb i="2044"/>
        </ext>
      </extLst>
    </bk>
    <bk>
      <extLst>
        <ext uri="{3e2802c4-a4d2-4d8b-9148-e3be6c30e623}">
          <xlrd:rvb i="2045"/>
        </ext>
      </extLst>
    </bk>
    <bk>
      <extLst>
        <ext uri="{3e2802c4-a4d2-4d8b-9148-e3be6c30e623}">
          <xlrd:rvb i="2046"/>
        </ext>
      </extLst>
    </bk>
    <bk>
      <extLst>
        <ext uri="{3e2802c4-a4d2-4d8b-9148-e3be6c30e623}">
          <xlrd:rvb i="2047"/>
        </ext>
      </extLst>
    </bk>
    <bk>
      <extLst>
        <ext uri="{3e2802c4-a4d2-4d8b-9148-e3be6c30e623}">
          <xlrd:rvb i="2048"/>
        </ext>
      </extLst>
    </bk>
    <bk>
      <extLst>
        <ext uri="{3e2802c4-a4d2-4d8b-9148-e3be6c30e623}">
          <xlrd:rvb i="2049"/>
        </ext>
      </extLst>
    </bk>
    <bk>
      <extLst>
        <ext uri="{3e2802c4-a4d2-4d8b-9148-e3be6c30e623}">
          <xlrd:rvb i="2050"/>
        </ext>
      </extLst>
    </bk>
    <bk>
      <extLst>
        <ext uri="{3e2802c4-a4d2-4d8b-9148-e3be6c30e623}">
          <xlrd:rvb i="2051"/>
        </ext>
      </extLst>
    </bk>
    <bk>
      <extLst>
        <ext uri="{3e2802c4-a4d2-4d8b-9148-e3be6c30e623}">
          <xlrd:rvb i="2052"/>
        </ext>
      </extLst>
    </bk>
    <bk>
      <extLst>
        <ext uri="{3e2802c4-a4d2-4d8b-9148-e3be6c30e623}">
          <xlrd:rvb i="2053"/>
        </ext>
      </extLst>
    </bk>
    <bk>
      <extLst>
        <ext uri="{3e2802c4-a4d2-4d8b-9148-e3be6c30e623}">
          <xlrd:rvb i="2054"/>
        </ext>
      </extLst>
    </bk>
    <bk>
      <extLst>
        <ext uri="{3e2802c4-a4d2-4d8b-9148-e3be6c30e623}">
          <xlrd:rvb i="2055"/>
        </ext>
      </extLst>
    </bk>
    <bk>
      <extLst>
        <ext uri="{3e2802c4-a4d2-4d8b-9148-e3be6c30e623}">
          <xlrd:rvb i="2056"/>
        </ext>
      </extLst>
    </bk>
    <bk>
      <extLst>
        <ext uri="{3e2802c4-a4d2-4d8b-9148-e3be6c30e623}">
          <xlrd:rvb i="2057"/>
        </ext>
      </extLst>
    </bk>
    <bk>
      <extLst>
        <ext uri="{3e2802c4-a4d2-4d8b-9148-e3be6c30e623}">
          <xlrd:rvb i="2058"/>
        </ext>
      </extLst>
    </bk>
    <bk>
      <extLst>
        <ext uri="{3e2802c4-a4d2-4d8b-9148-e3be6c30e623}">
          <xlrd:rvb i="2059"/>
        </ext>
      </extLst>
    </bk>
    <bk>
      <extLst>
        <ext uri="{3e2802c4-a4d2-4d8b-9148-e3be6c30e623}">
          <xlrd:rvb i="2060"/>
        </ext>
      </extLst>
    </bk>
    <bk>
      <extLst>
        <ext uri="{3e2802c4-a4d2-4d8b-9148-e3be6c30e623}">
          <xlrd:rvb i="2061"/>
        </ext>
      </extLst>
    </bk>
    <bk>
      <extLst>
        <ext uri="{3e2802c4-a4d2-4d8b-9148-e3be6c30e623}">
          <xlrd:rvb i="2062"/>
        </ext>
      </extLst>
    </bk>
    <bk>
      <extLst>
        <ext uri="{3e2802c4-a4d2-4d8b-9148-e3be6c30e623}">
          <xlrd:rvb i="2063"/>
        </ext>
      </extLst>
    </bk>
    <bk>
      <extLst>
        <ext uri="{3e2802c4-a4d2-4d8b-9148-e3be6c30e623}">
          <xlrd:rvb i="2064"/>
        </ext>
      </extLst>
    </bk>
    <bk>
      <extLst>
        <ext uri="{3e2802c4-a4d2-4d8b-9148-e3be6c30e623}">
          <xlrd:rvb i="2065"/>
        </ext>
      </extLst>
    </bk>
    <bk>
      <extLst>
        <ext uri="{3e2802c4-a4d2-4d8b-9148-e3be6c30e623}">
          <xlrd:rvb i="2066"/>
        </ext>
      </extLst>
    </bk>
    <bk>
      <extLst>
        <ext uri="{3e2802c4-a4d2-4d8b-9148-e3be6c30e623}">
          <xlrd:rvb i="2067"/>
        </ext>
      </extLst>
    </bk>
    <bk>
      <extLst>
        <ext uri="{3e2802c4-a4d2-4d8b-9148-e3be6c30e623}">
          <xlrd:rvb i="2068"/>
        </ext>
      </extLst>
    </bk>
    <bk>
      <extLst>
        <ext uri="{3e2802c4-a4d2-4d8b-9148-e3be6c30e623}">
          <xlrd:rvb i="2069"/>
        </ext>
      </extLst>
    </bk>
    <bk>
      <extLst>
        <ext uri="{3e2802c4-a4d2-4d8b-9148-e3be6c30e623}">
          <xlrd:rvb i="2070"/>
        </ext>
      </extLst>
    </bk>
    <bk>
      <extLst>
        <ext uri="{3e2802c4-a4d2-4d8b-9148-e3be6c30e623}">
          <xlrd:rvb i="2071"/>
        </ext>
      </extLst>
    </bk>
    <bk>
      <extLst>
        <ext uri="{3e2802c4-a4d2-4d8b-9148-e3be6c30e623}">
          <xlrd:rvb i="2072"/>
        </ext>
      </extLst>
    </bk>
    <bk>
      <extLst>
        <ext uri="{3e2802c4-a4d2-4d8b-9148-e3be6c30e623}">
          <xlrd:rvb i="2073"/>
        </ext>
      </extLst>
    </bk>
    <bk>
      <extLst>
        <ext uri="{3e2802c4-a4d2-4d8b-9148-e3be6c30e623}">
          <xlrd:rvb i="2074"/>
        </ext>
      </extLst>
    </bk>
    <bk>
      <extLst>
        <ext uri="{3e2802c4-a4d2-4d8b-9148-e3be6c30e623}">
          <xlrd:rvb i="2075"/>
        </ext>
      </extLst>
    </bk>
    <bk>
      <extLst>
        <ext uri="{3e2802c4-a4d2-4d8b-9148-e3be6c30e623}">
          <xlrd:rvb i="2076"/>
        </ext>
      </extLst>
    </bk>
    <bk>
      <extLst>
        <ext uri="{3e2802c4-a4d2-4d8b-9148-e3be6c30e623}">
          <xlrd:rvb i="2077"/>
        </ext>
      </extLst>
    </bk>
    <bk>
      <extLst>
        <ext uri="{3e2802c4-a4d2-4d8b-9148-e3be6c30e623}">
          <xlrd:rvb i="2078"/>
        </ext>
      </extLst>
    </bk>
    <bk>
      <extLst>
        <ext uri="{3e2802c4-a4d2-4d8b-9148-e3be6c30e623}">
          <xlrd:rvb i="2079"/>
        </ext>
      </extLst>
    </bk>
    <bk>
      <extLst>
        <ext uri="{3e2802c4-a4d2-4d8b-9148-e3be6c30e623}">
          <xlrd:rvb i="2080"/>
        </ext>
      </extLst>
    </bk>
    <bk>
      <extLst>
        <ext uri="{3e2802c4-a4d2-4d8b-9148-e3be6c30e623}">
          <xlrd:rvb i="2081"/>
        </ext>
      </extLst>
    </bk>
    <bk>
      <extLst>
        <ext uri="{3e2802c4-a4d2-4d8b-9148-e3be6c30e623}">
          <xlrd:rvb i="2082"/>
        </ext>
      </extLst>
    </bk>
    <bk>
      <extLst>
        <ext uri="{3e2802c4-a4d2-4d8b-9148-e3be6c30e623}">
          <xlrd:rvb i="2083"/>
        </ext>
      </extLst>
    </bk>
    <bk>
      <extLst>
        <ext uri="{3e2802c4-a4d2-4d8b-9148-e3be6c30e623}">
          <xlrd:rvb i="2084"/>
        </ext>
      </extLst>
    </bk>
    <bk>
      <extLst>
        <ext uri="{3e2802c4-a4d2-4d8b-9148-e3be6c30e623}">
          <xlrd:rvb i="2085"/>
        </ext>
      </extLst>
    </bk>
    <bk>
      <extLst>
        <ext uri="{3e2802c4-a4d2-4d8b-9148-e3be6c30e623}">
          <xlrd:rvb i="2086"/>
        </ext>
      </extLst>
    </bk>
    <bk>
      <extLst>
        <ext uri="{3e2802c4-a4d2-4d8b-9148-e3be6c30e623}">
          <xlrd:rvb i="2087"/>
        </ext>
      </extLst>
    </bk>
    <bk>
      <extLst>
        <ext uri="{3e2802c4-a4d2-4d8b-9148-e3be6c30e623}">
          <xlrd:rvb i="2088"/>
        </ext>
      </extLst>
    </bk>
    <bk>
      <extLst>
        <ext uri="{3e2802c4-a4d2-4d8b-9148-e3be6c30e623}">
          <xlrd:rvb i="2089"/>
        </ext>
      </extLst>
    </bk>
    <bk>
      <extLst>
        <ext uri="{3e2802c4-a4d2-4d8b-9148-e3be6c30e623}">
          <xlrd:rvb i="2090"/>
        </ext>
      </extLst>
    </bk>
    <bk>
      <extLst>
        <ext uri="{3e2802c4-a4d2-4d8b-9148-e3be6c30e623}">
          <xlrd:rvb i="2091"/>
        </ext>
      </extLst>
    </bk>
    <bk>
      <extLst>
        <ext uri="{3e2802c4-a4d2-4d8b-9148-e3be6c30e623}">
          <xlrd:rvb i="2092"/>
        </ext>
      </extLst>
    </bk>
    <bk>
      <extLst>
        <ext uri="{3e2802c4-a4d2-4d8b-9148-e3be6c30e623}">
          <xlrd:rvb i="2093"/>
        </ext>
      </extLst>
    </bk>
    <bk>
      <extLst>
        <ext uri="{3e2802c4-a4d2-4d8b-9148-e3be6c30e623}">
          <xlrd:rvb i="2094"/>
        </ext>
      </extLst>
    </bk>
    <bk>
      <extLst>
        <ext uri="{3e2802c4-a4d2-4d8b-9148-e3be6c30e623}">
          <xlrd:rvb i="2095"/>
        </ext>
      </extLst>
    </bk>
    <bk>
      <extLst>
        <ext uri="{3e2802c4-a4d2-4d8b-9148-e3be6c30e623}">
          <xlrd:rvb i="2096"/>
        </ext>
      </extLst>
    </bk>
    <bk>
      <extLst>
        <ext uri="{3e2802c4-a4d2-4d8b-9148-e3be6c30e623}">
          <xlrd:rvb i="2097"/>
        </ext>
      </extLst>
    </bk>
    <bk>
      <extLst>
        <ext uri="{3e2802c4-a4d2-4d8b-9148-e3be6c30e623}">
          <xlrd:rvb i="2098"/>
        </ext>
      </extLst>
    </bk>
    <bk>
      <extLst>
        <ext uri="{3e2802c4-a4d2-4d8b-9148-e3be6c30e623}">
          <xlrd:rvb i="2099"/>
        </ext>
      </extLst>
    </bk>
    <bk>
      <extLst>
        <ext uri="{3e2802c4-a4d2-4d8b-9148-e3be6c30e623}">
          <xlrd:rvb i="2100"/>
        </ext>
      </extLst>
    </bk>
    <bk>
      <extLst>
        <ext uri="{3e2802c4-a4d2-4d8b-9148-e3be6c30e623}">
          <xlrd:rvb i="2101"/>
        </ext>
      </extLst>
    </bk>
    <bk>
      <extLst>
        <ext uri="{3e2802c4-a4d2-4d8b-9148-e3be6c30e623}">
          <xlrd:rvb i="2102"/>
        </ext>
      </extLst>
    </bk>
    <bk>
      <extLst>
        <ext uri="{3e2802c4-a4d2-4d8b-9148-e3be6c30e623}">
          <xlrd:rvb i="2103"/>
        </ext>
      </extLst>
    </bk>
    <bk>
      <extLst>
        <ext uri="{3e2802c4-a4d2-4d8b-9148-e3be6c30e623}">
          <xlrd:rvb i="2104"/>
        </ext>
      </extLst>
    </bk>
    <bk>
      <extLst>
        <ext uri="{3e2802c4-a4d2-4d8b-9148-e3be6c30e623}">
          <xlrd:rvb i="2105"/>
        </ext>
      </extLst>
    </bk>
    <bk>
      <extLst>
        <ext uri="{3e2802c4-a4d2-4d8b-9148-e3be6c30e623}">
          <xlrd:rvb i="2106"/>
        </ext>
      </extLst>
    </bk>
    <bk>
      <extLst>
        <ext uri="{3e2802c4-a4d2-4d8b-9148-e3be6c30e623}">
          <xlrd:rvb i="2107"/>
        </ext>
      </extLst>
    </bk>
    <bk>
      <extLst>
        <ext uri="{3e2802c4-a4d2-4d8b-9148-e3be6c30e623}">
          <xlrd:rvb i="2108"/>
        </ext>
      </extLst>
    </bk>
    <bk>
      <extLst>
        <ext uri="{3e2802c4-a4d2-4d8b-9148-e3be6c30e623}">
          <xlrd:rvb i="2109"/>
        </ext>
      </extLst>
    </bk>
    <bk>
      <extLst>
        <ext uri="{3e2802c4-a4d2-4d8b-9148-e3be6c30e623}">
          <xlrd:rvb i="2110"/>
        </ext>
      </extLst>
    </bk>
    <bk>
      <extLst>
        <ext uri="{3e2802c4-a4d2-4d8b-9148-e3be6c30e623}">
          <xlrd:rvb i="2111"/>
        </ext>
      </extLst>
    </bk>
    <bk>
      <extLst>
        <ext uri="{3e2802c4-a4d2-4d8b-9148-e3be6c30e623}">
          <xlrd:rvb i="2112"/>
        </ext>
      </extLst>
    </bk>
    <bk>
      <extLst>
        <ext uri="{3e2802c4-a4d2-4d8b-9148-e3be6c30e623}">
          <xlrd:rvb i="2113"/>
        </ext>
      </extLst>
    </bk>
    <bk>
      <extLst>
        <ext uri="{3e2802c4-a4d2-4d8b-9148-e3be6c30e623}">
          <xlrd:rvb i="2114"/>
        </ext>
      </extLst>
    </bk>
    <bk>
      <extLst>
        <ext uri="{3e2802c4-a4d2-4d8b-9148-e3be6c30e623}">
          <xlrd:rvb i="2115"/>
        </ext>
      </extLst>
    </bk>
    <bk>
      <extLst>
        <ext uri="{3e2802c4-a4d2-4d8b-9148-e3be6c30e623}">
          <xlrd:rvb i="2116"/>
        </ext>
      </extLst>
    </bk>
    <bk>
      <extLst>
        <ext uri="{3e2802c4-a4d2-4d8b-9148-e3be6c30e623}">
          <xlrd:rvb i="2117"/>
        </ext>
      </extLst>
    </bk>
    <bk>
      <extLst>
        <ext uri="{3e2802c4-a4d2-4d8b-9148-e3be6c30e623}">
          <xlrd:rvb i="2118"/>
        </ext>
      </extLst>
    </bk>
    <bk>
      <extLst>
        <ext uri="{3e2802c4-a4d2-4d8b-9148-e3be6c30e623}">
          <xlrd:rvb i="2119"/>
        </ext>
      </extLst>
    </bk>
    <bk>
      <extLst>
        <ext uri="{3e2802c4-a4d2-4d8b-9148-e3be6c30e623}">
          <xlrd:rvb i="2120"/>
        </ext>
      </extLst>
    </bk>
    <bk>
      <extLst>
        <ext uri="{3e2802c4-a4d2-4d8b-9148-e3be6c30e623}">
          <xlrd:rvb i="2121"/>
        </ext>
      </extLst>
    </bk>
    <bk>
      <extLst>
        <ext uri="{3e2802c4-a4d2-4d8b-9148-e3be6c30e623}">
          <xlrd:rvb i="2122"/>
        </ext>
      </extLst>
    </bk>
    <bk>
      <extLst>
        <ext uri="{3e2802c4-a4d2-4d8b-9148-e3be6c30e623}">
          <xlrd:rvb i="2123"/>
        </ext>
      </extLst>
    </bk>
    <bk>
      <extLst>
        <ext uri="{3e2802c4-a4d2-4d8b-9148-e3be6c30e623}">
          <xlrd:rvb i="2124"/>
        </ext>
      </extLst>
    </bk>
    <bk>
      <extLst>
        <ext uri="{3e2802c4-a4d2-4d8b-9148-e3be6c30e623}">
          <xlrd:rvb i="2125"/>
        </ext>
      </extLst>
    </bk>
    <bk>
      <extLst>
        <ext uri="{3e2802c4-a4d2-4d8b-9148-e3be6c30e623}">
          <xlrd:rvb i="2126"/>
        </ext>
      </extLst>
    </bk>
    <bk>
      <extLst>
        <ext uri="{3e2802c4-a4d2-4d8b-9148-e3be6c30e623}">
          <xlrd:rvb i="2127"/>
        </ext>
      </extLst>
    </bk>
    <bk>
      <extLst>
        <ext uri="{3e2802c4-a4d2-4d8b-9148-e3be6c30e623}">
          <xlrd:rvb i="2128"/>
        </ext>
      </extLst>
    </bk>
    <bk>
      <extLst>
        <ext uri="{3e2802c4-a4d2-4d8b-9148-e3be6c30e623}">
          <xlrd:rvb i="2129"/>
        </ext>
      </extLst>
    </bk>
    <bk>
      <extLst>
        <ext uri="{3e2802c4-a4d2-4d8b-9148-e3be6c30e623}">
          <xlrd:rvb i="2130"/>
        </ext>
      </extLst>
    </bk>
    <bk>
      <extLst>
        <ext uri="{3e2802c4-a4d2-4d8b-9148-e3be6c30e623}">
          <xlrd:rvb i="2131"/>
        </ext>
      </extLst>
    </bk>
    <bk>
      <extLst>
        <ext uri="{3e2802c4-a4d2-4d8b-9148-e3be6c30e623}">
          <xlrd:rvb i="2132"/>
        </ext>
      </extLst>
    </bk>
    <bk>
      <extLst>
        <ext uri="{3e2802c4-a4d2-4d8b-9148-e3be6c30e623}">
          <xlrd:rvb i="2133"/>
        </ext>
      </extLst>
    </bk>
    <bk>
      <extLst>
        <ext uri="{3e2802c4-a4d2-4d8b-9148-e3be6c30e623}">
          <xlrd:rvb i="2134"/>
        </ext>
      </extLst>
    </bk>
    <bk>
      <extLst>
        <ext uri="{3e2802c4-a4d2-4d8b-9148-e3be6c30e623}">
          <xlrd:rvb i="2135"/>
        </ext>
      </extLst>
    </bk>
    <bk>
      <extLst>
        <ext uri="{3e2802c4-a4d2-4d8b-9148-e3be6c30e623}">
          <xlrd:rvb i="2136"/>
        </ext>
      </extLst>
    </bk>
    <bk>
      <extLst>
        <ext uri="{3e2802c4-a4d2-4d8b-9148-e3be6c30e623}">
          <xlrd:rvb i="2137"/>
        </ext>
      </extLst>
    </bk>
    <bk>
      <extLst>
        <ext uri="{3e2802c4-a4d2-4d8b-9148-e3be6c30e623}">
          <xlrd:rvb i="2138"/>
        </ext>
      </extLst>
    </bk>
    <bk>
      <extLst>
        <ext uri="{3e2802c4-a4d2-4d8b-9148-e3be6c30e623}">
          <xlrd:rvb i="2139"/>
        </ext>
      </extLst>
    </bk>
    <bk>
      <extLst>
        <ext uri="{3e2802c4-a4d2-4d8b-9148-e3be6c30e623}">
          <xlrd:rvb i="2140"/>
        </ext>
      </extLst>
    </bk>
    <bk>
      <extLst>
        <ext uri="{3e2802c4-a4d2-4d8b-9148-e3be6c30e623}">
          <xlrd:rvb i="2141"/>
        </ext>
      </extLst>
    </bk>
    <bk>
      <extLst>
        <ext uri="{3e2802c4-a4d2-4d8b-9148-e3be6c30e623}">
          <xlrd:rvb i="2142"/>
        </ext>
      </extLst>
    </bk>
    <bk>
      <extLst>
        <ext uri="{3e2802c4-a4d2-4d8b-9148-e3be6c30e623}">
          <xlrd:rvb i="2143"/>
        </ext>
      </extLst>
    </bk>
    <bk>
      <extLst>
        <ext uri="{3e2802c4-a4d2-4d8b-9148-e3be6c30e623}">
          <xlrd:rvb i="2144"/>
        </ext>
      </extLst>
    </bk>
    <bk>
      <extLst>
        <ext uri="{3e2802c4-a4d2-4d8b-9148-e3be6c30e623}">
          <xlrd:rvb i="2145"/>
        </ext>
      </extLst>
    </bk>
    <bk>
      <extLst>
        <ext uri="{3e2802c4-a4d2-4d8b-9148-e3be6c30e623}">
          <xlrd:rvb i="2146"/>
        </ext>
      </extLst>
    </bk>
    <bk>
      <extLst>
        <ext uri="{3e2802c4-a4d2-4d8b-9148-e3be6c30e623}">
          <xlrd:rvb i="2147"/>
        </ext>
      </extLst>
    </bk>
    <bk>
      <extLst>
        <ext uri="{3e2802c4-a4d2-4d8b-9148-e3be6c30e623}">
          <xlrd:rvb i="2148"/>
        </ext>
      </extLst>
    </bk>
    <bk>
      <extLst>
        <ext uri="{3e2802c4-a4d2-4d8b-9148-e3be6c30e623}">
          <xlrd:rvb i="2149"/>
        </ext>
      </extLst>
    </bk>
    <bk>
      <extLst>
        <ext uri="{3e2802c4-a4d2-4d8b-9148-e3be6c30e623}">
          <xlrd:rvb i="2150"/>
        </ext>
      </extLst>
    </bk>
    <bk>
      <extLst>
        <ext uri="{3e2802c4-a4d2-4d8b-9148-e3be6c30e623}">
          <xlrd:rvb i="2151"/>
        </ext>
      </extLst>
    </bk>
    <bk>
      <extLst>
        <ext uri="{3e2802c4-a4d2-4d8b-9148-e3be6c30e623}">
          <xlrd:rvb i="2152"/>
        </ext>
      </extLst>
    </bk>
    <bk>
      <extLst>
        <ext uri="{3e2802c4-a4d2-4d8b-9148-e3be6c30e623}">
          <xlrd:rvb i="2153"/>
        </ext>
      </extLst>
    </bk>
    <bk>
      <extLst>
        <ext uri="{3e2802c4-a4d2-4d8b-9148-e3be6c30e623}">
          <xlrd:rvb i="2154"/>
        </ext>
      </extLst>
    </bk>
    <bk>
      <extLst>
        <ext uri="{3e2802c4-a4d2-4d8b-9148-e3be6c30e623}">
          <xlrd:rvb i="2155"/>
        </ext>
      </extLst>
    </bk>
    <bk>
      <extLst>
        <ext uri="{3e2802c4-a4d2-4d8b-9148-e3be6c30e623}">
          <xlrd:rvb i="2156"/>
        </ext>
      </extLst>
    </bk>
    <bk>
      <extLst>
        <ext uri="{3e2802c4-a4d2-4d8b-9148-e3be6c30e623}">
          <xlrd:rvb i="2157"/>
        </ext>
      </extLst>
    </bk>
    <bk>
      <extLst>
        <ext uri="{3e2802c4-a4d2-4d8b-9148-e3be6c30e623}">
          <xlrd:rvb i="2158"/>
        </ext>
      </extLst>
    </bk>
    <bk>
      <extLst>
        <ext uri="{3e2802c4-a4d2-4d8b-9148-e3be6c30e623}">
          <xlrd:rvb i="2159"/>
        </ext>
      </extLst>
    </bk>
    <bk>
      <extLst>
        <ext uri="{3e2802c4-a4d2-4d8b-9148-e3be6c30e623}">
          <xlrd:rvb i="2160"/>
        </ext>
      </extLst>
    </bk>
    <bk>
      <extLst>
        <ext uri="{3e2802c4-a4d2-4d8b-9148-e3be6c30e623}">
          <xlrd:rvb i="2161"/>
        </ext>
      </extLst>
    </bk>
    <bk>
      <extLst>
        <ext uri="{3e2802c4-a4d2-4d8b-9148-e3be6c30e623}">
          <xlrd:rvb i="2162"/>
        </ext>
      </extLst>
    </bk>
    <bk>
      <extLst>
        <ext uri="{3e2802c4-a4d2-4d8b-9148-e3be6c30e623}">
          <xlrd:rvb i="2163"/>
        </ext>
      </extLst>
    </bk>
    <bk>
      <extLst>
        <ext uri="{3e2802c4-a4d2-4d8b-9148-e3be6c30e623}">
          <xlrd:rvb i="2164"/>
        </ext>
      </extLst>
    </bk>
    <bk>
      <extLst>
        <ext uri="{3e2802c4-a4d2-4d8b-9148-e3be6c30e623}">
          <xlrd:rvb i="2165"/>
        </ext>
      </extLst>
    </bk>
    <bk>
      <extLst>
        <ext uri="{3e2802c4-a4d2-4d8b-9148-e3be6c30e623}">
          <xlrd:rvb i="2166"/>
        </ext>
      </extLst>
    </bk>
    <bk>
      <extLst>
        <ext uri="{3e2802c4-a4d2-4d8b-9148-e3be6c30e623}">
          <xlrd:rvb i="2167"/>
        </ext>
      </extLst>
    </bk>
    <bk>
      <extLst>
        <ext uri="{3e2802c4-a4d2-4d8b-9148-e3be6c30e623}">
          <xlrd:rvb i="2168"/>
        </ext>
      </extLst>
    </bk>
    <bk>
      <extLst>
        <ext uri="{3e2802c4-a4d2-4d8b-9148-e3be6c30e623}">
          <xlrd:rvb i="2169"/>
        </ext>
      </extLst>
    </bk>
    <bk>
      <extLst>
        <ext uri="{3e2802c4-a4d2-4d8b-9148-e3be6c30e623}">
          <xlrd:rvb i="2170"/>
        </ext>
      </extLst>
    </bk>
    <bk>
      <extLst>
        <ext uri="{3e2802c4-a4d2-4d8b-9148-e3be6c30e623}">
          <xlrd:rvb i="2171"/>
        </ext>
      </extLst>
    </bk>
    <bk>
      <extLst>
        <ext uri="{3e2802c4-a4d2-4d8b-9148-e3be6c30e623}">
          <xlrd:rvb i="2172"/>
        </ext>
      </extLst>
    </bk>
    <bk>
      <extLst>
        <ext uri="{3e2802c4-a4d2-4d8b-9148-e3be6c30e623}">
          <xlrd:rvb i="2173"/>
        </ext>
      </extLst>
    </bk>
    <bk>
      <extLst>
        <ext uri="{3e2802c4-a4d2-4d8b-9148-e3be6c30e623}">
          <xlrd:rvb i="2174"/>
        </ext>
      </extLst>
    </bk>
    <bk>
      <extLst>
        <ext uri="{3e2802c4-a4d2-4d8b-9148-e3be6c30e623}">
          <xlrd:rvb i="2175"/>
        </ext>
      </extLst>
    </bk>
    <bk>
      <extLst>
        <ext uri="{3e2802c4-a4d2-4d8b-9148-e3be6c30e623}">
          <xlrd:rvb i="2176"/>
        </ext>
      </extLst>
    </bk>
    <bk>
      <extLst>
        <ext uri="{3e2802c4-a4d2-4d8b-9148-e3be6c30e623}">
          <xlrd:rvb i="2177"/>
        </ext>
      </extLst>
    </bk>
    <bk>
      <extLst>
        <ext uri="{3e2802c4-a4d2-4d8b-9148-e3be6c30e623}">
          <xlrd:rvb i="2178"/>
        </ext>
      </extLst>
    </bk>
    <bk>
      <extLst>
        <ext uri="{3e2802c4-a4d2-4d8b-9148-e3be6c30e623}">
          <xlrd:rvb i="2179"/>
        </ext>
      </extLst>
    </bk>
    <bk>
      <extLst>
        <ext uri="{3e2802c4-a4d2-4d8b-9148-e3be6c30e623}">
          <xlrd:rvb i="2180"/>
        </ext>
      </extLst>
    </bk>
    <bk>
      <extLst>
        <ext uri="{3e2802c4-a4d2-4d8b-9148-e3be6c30e623}">
          <xlrd:rvb i="2181"/>
        </ext>
      </extLst>
    </bk>
    <bk>
      <extLst>
        <ext uri="{3e2802c4-a4d2-4d8b-9148-e3be6c30e623}">
          <xlrd:rvb i="2182"/>
        </ext>
      </extLst>
    </bk>
    <bk>
      <extLst>
        <ext uri="{3e2802c4-a4d2-4d8b-9148-e3be6c30e623}">
          <xlrd:rvb i="2183"/>
        </ext>
      </extLst>
    </bk>
    <bk>
      <extLst>
        <ext uri="{3e2802c4-a4d2-4d8b-9148-e3be6c30e623}">
          <xlrd:rvb i="2184"/>
        </ext>
      </extLst>
    </bk>
    <bk>
      <extLst>
        <ext uri="{3e2802c4-a4d2-4d8b-9148-e3be6c30e623}">
          <xlrd:rvb i="2185"/>
        </ext>
      </extLst>
    </bk>
    <bk>
      <extLst>
        <ext uri="{3e2802c4-a4d2-4d8b-9148-e3be6c30e623}">
          <xlrd:rvb i="2186"/>
        </ext>
      </extLst>
    </bk>
    <bk>
      <extLst>
        <ext uri="{3e2802c4-a4d2-4d8b-9148-e3be6c30e623}">
          <xlrd:rvb i="2187"/>
        </ext>
      </extLst>
    </bk>
    <bk>
      <extLst>
        <ext uri="{3e2802c4-a4d2-4d8b-9148-e3be6c30e623}">
          <xlrd:rvb i="2188"/>
        </ext>
      </extLst>
    </bk>
    <bk>
      <extLst>
        <ext uri="{3e2802c4-a4d2-4d8b-9148-e3be6c30e623}">
          <xlrd:rvb i="2189"/>
        </ext>
      </extLst>
    </bk>
    <bk>
      <extLst>
        <ext uri="{3e2802c4-a4d2-4d8b-9148-e3be6c30e623}">
          <xlrd:rvb i="2190"/>
        </ext>
      </extLst>
    </bk>
    <bk>
      <extLst>
        <ext uri="{3e2802c4-a4d2-4d8b-9148-e3be6c30e623}">
          <xlrd:rvb i="2191"/>
        </ext>
      </extLst>
    </bk>
    <bk>
      <extLst>
        <ext uri="{3e2802c4-a4d2-4d8b-9148-e3be6c30e623}">
          <xlrd:rvb i="2192"/>
        </ext>
      </extLst>
    </bk>
    <bk>
      <extLst>
        <ext uri="{3e2802c4-a4d2-4d8b-9148-e3be6c30e623}">
          <xlrd:rvb i="2193"/>
        </ext>
      </extLst>
    </bk>
    <bk>
      <extLst>
        <ext uri="{3e2802c4-a4d2-4d8b-9148-e3be6c30e623}">
          <xlrd:rvb i="2194"/>
        </ext>
      </extLst>
    </bk>
    <bk>
      <extLst>
        <ext uri="{3e2802c4-a4d2-4d8b-9148-e3be6c30e623}">
          <xlrd:rvb i="2195"/>
        </ext>
      </extLst>
    </bk>
    <bk>
      <extLst>
        <ext uri="{3e2802c4-a4d2-4d8b-9148-e3be6c30e623}">
          <xlrd:rvb i="2196"/>
        </ext>
      </extLst>
    </bk>
    <bk>
      <extLst>
        <ext uri="{3e2802c4-a4d2-4d8b-9148-e3be6c30e623}">
          <xlrd:rvb i="2197"/>
        </ext>
      </extLst>
    </bk>
    <bk>
      <extLst>
        <ext uri="{3e2802c4-a4d2-4d8b-9148-e3be6c30e623}">
          <xlrd:rvb i="2198"/>
        </ext>
      </extLst>
    </bk>
    <bk>
      <extLst>
        <ext uri="{3e2802c4-a4d2-4d8b-9148-e3be6c30e623}">
          <xlrd:rvb i="2199"/>
        </ext>
      </extLst>
    </bk>
    <bk>
      <extLst>
        <ext uri="{3e2802c4-a4d2-4d8b-9148-e3be6c30e623}">
          <xlrd:rvb i="2200"/>
        </ext>
      </extLst>
    </bk>
    <bk>
      <extLst>
        <ext uri="{3e2802c4-a4d2-4d8b-9148-e3be6c30e623}">
          <xlrd:rvb i="2201"/>
        </ext>
      </extLst>
    </bk>
    <bk>
      <extLst>
        <ext uri="{3e2802c4-a4d2-4d8b-9148-e3be6c30e623}">
          <xlrd:rvb i="2202"/>
        </ext>
      </extLst>
    </bk>
    <bk>
      <extLst>
        <ext uri="{3e2802c4-a4d2-4d8b-9148-e3be6c30e623}">
          <xlrd:rvb i="2203"/>
        </ext>
      </extLst>
    </bk>
    <bk>
      <extLst>
        <ext uri="{3e2802c4-a4d2-4d8b-9148-e3be6c30e623}">
          <xlrd:rvb i="2204"/>
        </ext>
      </extLst>
    </bk>
    <bk>
      <extLst>
        <ext uri="{3e2802c4-a4d2-4d8b-9148-e3be6c30e623}">
          <xlrd:rvb i="2205"/>
        </ext>
      </extLst>
    </bk>
    <bk>
      <extLst>
        <ext uri="{3e2802c4-a4d2-4d8b-9148-e3be6c30e623}">
          <xlrd:rvb i="2206"/>
        </ext>
      </extLst>
    </bk>
    <bk>
      <extLst>
        <ext uri="{3e2802c4-a4d2-4d8b-9148-e3be6c30e623}">
          <xlrd:rvb i="2207"/>
        </ext>
      </extLst>
    </bk>
    <bk>
      <extLst>
        <ext uri="{3e2802c4-a4d2-4d8b-9148-e3be6c30e623}">
          <xlrd:rvb i="2208"/>
        </ext>
      </extLst>
    </bk>
    <bk>
      <extLst>
        <ext uri="{3e2802c4-a4d2-4d8b-9148-e3be6c30e623}">
          <xlrd:rvb i="2209"/>
        </ext>
      </extLst>
    </bk>
    <bk>
      <extLst>
        <ext uri="{3e2802c4-a4d2-4d8b-9148-e3be6c30e623}">
          <xlrd:rvb i="2210"/>
        </ext>
      </extLst>
    </bk>
    <bk>
      <extLst>
        <ext uri="{3e2802c4-a4d2-4d8b-9148-e3be6c30e623}">
          <xlrd:rvb i="2211"/>
        </ext>
      </extLst>
    </bk>
    <bk>
      <extLst>
        <ext uri="{3e2802c4-a4d2-4d8b-9148-e3be6c30e623}">
          <xlrd:rvb i="2212"/>
        </ext>
      </extLst>
    </bk>
    <bk>
      <extLst>
        <ext uri="{3e2802c4-a4d2-4d8b-9148-e3be6c30e623}">
          <xlrd:rvb i="2213"/>
        </ext>
      </extLst>
    </bk>
    <bk>
      <extLst>
        <ext uri="{3e2802c4-a4d2-4d8b-9148-e3be6c30e623}">
          <xlrd:rvb i="2214"/>
        </ext>
      </extLst>
    </bk>
    <bk>
      <extLst>
        <ext uri="{3e2802c4-a4d2-4d8b-9148-e3be6c30e623}">
          <xlrd:rvb i="2215"/>
        </ext>
      </extLst>
    </bk>
    <bk>
      <extLst>
        <ext uri="{3e2802c4-a4d2-4d8b-9148-e3be6c30e623}">
          <xlrd:rvb i="2216"/>
        </ext>
      </extLst>
    </bk>
    <bk>
      <extLst>
        <ext uri="{3e2802c4-a4d2-4d8b-9148-e3be6c30e623}">
          <xlrd:rvb i="2217"/>
        </ext>
      </extLst>
    </bk>
    <bk>
      <extLst>
        <ext uri="{3e2802c4-a4d2-4d8b-9148-e3be6c30e623}">
          <xlrd:rvb i="2218"/>
        </ext>
      </extLst>
    </bk>
    <bk>
      <extLst>
        <ext uri="{3e2802c4-a4d2-4d8b-9148-e3be6c30e623}">
          <xlrd:rvb i="2219"/>
        </ext>
      </extLst>
    </bk>
    <bk>
      <extLst>
        <ext uri="{3e2802c4-a4d2-4d8b-9148-e3be6c30e623}">
          <xlrd:rvb i="2220"/>
        </ext>
      </extLst>
    </bk>
    <bk>
      <extLst>
        <ext uri="{3e2802c4-a4d2-4d8b-9148-e3be6c30e623}">
          <xlrd:rvb i="2221"/>
        </ext>
      </extLst>
    </bk>
    <bk>
      <extLst>
        <ext uri="{3e2802c4-a4d2-4d8b-9148-e3be6c30e623}">
          <xlrd:rvb i="2222"/>
        </ext>
      </extLst>
    </bk>
    <bk>
      <extLst>
        <ext uri="{3e2802c4-a4d2-4d8b-9148-e3be6c30e623}">
          <xlrd:rvb i="2223"/>
        </ext>
      </extLst>
    </bk>
    <bk>
      <extLst>
        <ext uri="{3e2802c4-a4d2-4d8b-9148-e3be6c30e623}">
          <xlrd:rvb i="2224"/>
        </ext>
      </extLst>
    </bk>
    <bk>
      <extLst>
        <ext uri="{3e2802c4-a4d2-4d8b-9148-e3be6c30e623}">
          <xlrd:rvb i="2225"/>
        </ext>
      </extLst>
    </bk>
    <bk>
      <extLst>
        <ext uri="{3e2802c4-a4d2-4d8b-9148-e3be6c30e623}">
          <xlrd:rvb i="2226"/>
        </ext>
      </extLst>
    </bk>
    <bk>
      <extLst>
        <ext uri="{3e2802c4-a4d2-4d8b-9148-e3be6c30e623}">
          <xlrd:rvb i="2227"/>
        </ext>
      </extLst>
    </bk>
    <bk>
      <extLst>
        <ext uri="{3e2802c4-a4d2-4d8b-9148-e3be6c30e623}">
          <xlrd:rvb i="2228"/>
        </ext>
      </extLst>
    </bk>
    <bk>
      <extLst>
        <ext uri="{3e2802c4-a4d2-4d8b-9148-e3be6c30e623}">
          <xlrd:rvb i="2229"/>
        </ext>
      </extLst>
    </bk>
    <bk>
      <extLst>
        <ext uri="{3e2802c4-a4d2-4d8b-9148-e3be6c30e623}">
          <xlrd:rvb i="2230"/>
        </ext>
      </extLst>
    </bk>
    <bk>
      <extLst>
        <ext uri="{3e2802c4-a4d2-4d8b-9148-e3be6c30e623}">
          <xlrd:rvb i="2231"/>
        </ext>
      </extLst>
    </bk>
    <bk>
      <extLst>
        <ext uri="{3e2802c4-a4d2-4d8b-9148-e3be6c30e623}">
          <xlrd:rvb i="2232"/>
        </ext>
      </extLst>
    </bk>
    <bk>
      <extLst>
        <ext uri="{3e2802c4-a4d2-4d8b-9148-e3be6c30e623}">
          <xlrd:rvb i="2233"/>
        </ext>
      </extLst>
    </bk>
    <bk>
      <extLst>
        <ext uri="{3e2802c4-a4d2-4d8b-9148-e3be6c30e623}">
          <xlrd:rvb i="2234"/>
        </ext>
      </extLst>
    </bk>
    <bk>
      <extLst>
        <ext uri="{3e2802c4-a4d2-4d8b-9148-e3be6c30e623}">
          <xlrd:rvb i="2235"/>
        </ext>
      </extLst>
    </bk>
    <bk>
      <extLst>
        <ext uri="{3e2802c4-a4d2-4d8b-9148-e3be6c30e623}">
          <xlrd:rvb i="2236"/>
        </ext>
      </extLst>
    </bk>
    <bk>
      <extLst>
        <ext uri="{3e2802c4-a4d2-4d8b-9148-e3be6c30e623}">
          <xlrd:rvb i="2237"/>
        </ext>
      </extLst>
    </bk>
    <bk>
      <extLst>
        <ext uri="{3e2802c4-a4d2-4d8b-9148-e3be6c30e623}">
          <xlrd:rvb i="2238"/>
        </ext>
      </extLst>
    </bk>
    <bk>
      <extLst>
        <ext uri="{3e2802c4-a4d2-4d8b-9148-e3be6c30e623}">
          <xlrd:rvb i="2239"/>
        </ext>
      </extLst>
    </bk>
    <bk>
      <extLst>
        <ext uri="{3e2802c4-a4d2-4d8b-9148-e3be6c30e623}">
          <xlrd:rvb i="2240"/>
        </ext>
      </extLst>
    </bk>
    <bk>
      <extLst>
        <ext uri="{3e2802c4-a4d2-4d8b-9148-e3be6c30e623}">
          <xlrd:rvb i="2241"/>
        </ext>
      </extLst>
    </bk>
    <bk>
      <extLst>
        <ext uri="{3e2802c4-a4d2-4d8b-9148-e3be6c30e623}">
          <xlrd:rvb i="2242"/>
        </ext>
      </extLst>
    </bk>
    <bk>
      <extLst>
        <ext uri="{3e2802c4-a4d2-4d8b-9148-e3be6c30e623}">
          <xlrd:rvb i="2243"/>
        </ext>
      </extLst>
    </bk>
    <bk>
      <extLst>
        <ext uri="{3e2802c4-a4d2-4d8b-9148-e3be6c30e623}">
          <xlrd:rvb i="2244"/>
        </ext>
      </extLst>
    </bk>
    <bk>
      <extLst>
        <ext uri="{3e2802c4-a4d2-4d8b-9148-e3be6c30e623}">
          <xlrd:rvb i="2245"/>
        </ext>
      </extLst>
    </bk>
    <bk>
      <extLst>
        <ext uri="{3e2802c4-a4d2-4d8b-9148-e3be6c30e623}">
          <xlrd:rvb i="2246"/>
        </ext>
      </extLst>
    </bk>
    <bk>
      <extLst>
        <ext uri="{3e2802c4-a4d2-4d8b-9148-e3be6c30e623}">
          <xlrd:rvb i="2247"/>
        </ext>
      </extLst>
    </bk>
    <bk>
      <extLst>
        <ext uri="{3e2802c4-a4d2-4d8b-9148-e3be6c30e623}">
          <xlrd:rvb i="2248"/>
        </ext>
      </extLst>
    </bk>
    <bk>
      <extLst>
        <ext uri="{3e2802c4-a4d2-4d8b-9148-e3be6c30e623}">
          <xlrd:rvb i="2249"/>
        </ext>
      </extLst>
    </bk>
    <bk>
      <extLst>
        <ext uri="{3e2802c4-a4d2-4d8b-9148-e3be6c30e623}">
          <xlrd:rvb i="2250"/>
        </ext>
      </extLst>
    </bk>
    <bk>
      <extLst>
        <ext uri="{3e2802c4-a4d2-4d8b-9148-e3be6c30e623}">
          <xlrd:rvb i="2251"/>
        </ext>
      </extLst>
    </bk>
    <bk>
      <extLst>
        <ext uri="{3e2802c4-a4d2-4d8b-9148-e3be6c30e623}">
          <xlrd:rvb i="2252"/>
        </ext>
      </extLst>
    </bk>
    <bk>
      <extLst>
        <ext uri="{3e2802c4-a4d2-4d8b-9148-e3be6c30e623}">
          <xlrd:rvb i="2253"/>
        </ext>
      </extLst>
    </bk>
    <bk>
      <extLst>
        <ext uri="{3e2802c4-a4d2-4d8b-9148-e3be6c30e623}">
          <xlrd:rvb i="2254"/>
        </ext>
      </extLst>
    </bk>
    <bk>
      <extLst>
        <ext uri="{3e2802c4-a4d2-4d8b-9148-e3be6c30e623}">
          <xlrd:rvb i="2255"/>
        </ext>
      </extLst>
    </bk>
    <bk>
      <extLst>
        <ext uri="{3e2802c4-a4d2-4d8b-9148-e3be6c30e623}">
          <xlrd:rvb i="2256"/>
        </ext>
      </extLst>
    </bk>
    <bk>
      <extLst>
        <ext uri="{3e2802c4-a4d2-4d8b-9148-e3be6c30e623}">
          <xlrd:rvb i="2257"/>
        </ext>
      </extLst>
    </bk>
    <bk>
      <extLst>
        <ext uri="{3e2802c4-a4d2-4d8b-9148-e3be6c30e623}">
          <xlrd:rvb i="2258"/>
        </ext>
      </extLst>
    </bk>
    <bk>
      <extLst>
        <ext uri="{3e2802c4-a4d2-4d8b-9148-e3be6c30e623}">
          <xlrd:rvb i="2259"/>
        </ext>
      </extLst>
    </bk>
    <bk>
      <extLst>
        <ext uri="{3e2802c4-a4d2-4d8b-9148-e3be6c30e623}">
          <xlrd:rvb i="2260"/>
        </ext>
      </extLst>
    </bk>
    <bk>
      <extLst>
        <ext uri="{3e2802c4-a4d2-4d8b-9148-e3be6c30e623}">
          <xlrd:rvb i="2261"/>
        </ext>
      </extLst>
    </bk>
    <bk>
      <extLst>
        <ext uri="{3e2802c4-a4d2-4d8b-9148-e3be6c30e623}">
          <xlrd:rvb i="2262"/>
        </ext>
      </extLst>
    </bk>
    <bk>
      <extLst>
        <ext uri="{3e2802c4-a4d2-4d8b-9148-e3be6c30e623}">
          <xlrd:rvb i="2263"/>
        </ext>
      </extLst>
    </bk>
    <bk>
      <extLst>
        <ext uri="{3e2802c4-a4d2-4d8b-9148-e3be6c30e623}">
          <xlrd:rvb i="2264"/>
        </ext>
      </extLst>
    </bk>
    <bk>
      <extLst>
        <ext uri="{3e2802c4-a4d2-4d8b-9148-e3be6c30e623}">
          <xlrd:rvb i="2265"/>
        </ext>
      </extLst>
    </bk>
    <bk>
      <extLst>
        <ext uri="{3e2802c4-a4d2-4d8b-9148-e3be6c30e623}">
          <xlrd:rvb i="2266"/>
        </ext>
      </extLst>
    </bk>
    <bk>
      <extLst>
        <ext uri="{3e2802c4-a4d2-4d8b-9148-e3be6c30e623}">
          <xlrd:rvb i="2267"/>
        </ext>
      </extLst>
    </bk>
    <bk>
      <extLst>
        <ext uri="{3e2802c4-a4d2-4d8b-9148-e3be6c30e623}">
          <xlrd:rvb i="2268"/>
        </ext>
      </extLst>
    </bk>
    <bk>
      <extLst>
        <ext uri="{3e2802c4-a4d2-4d8b-9148-e3be6c30e623}">
          <xlrd:rvb i="2269"/>
        </ext>
      </extLst>
    </bk>
    <bk>
      <extLst>
        <ext uri="{3e2802c4-a4d2-4d8b-9148-e3be6c30e623}">
          <xlrd:rvb i="2270"/>
        </ext>
      </extLst>
    </bk>
    <bk>
      <extLst>
        <ext uri="{3e2802c4-a4d2-4d8b-9148-e3be6c30e623}">
          <xlrd:rvb i="2271"/>
        </ext>
      </extLst>
    </bk>
    <bk>
      <extLst>
        <ext uri="{3e2802c4-a4d2-4d8b-9148-e3be6c30e623}">
          <xlrd:rvb i="2272"/>
        </ext>
      </extLst>
    </bk>
    <bk>
      <extLst>
        <ext uri="{3e2802c4-a4d2-4d8b-9148-e3be6c30e623}">
          <xlrd:rvb i="2273"/>
        </ext>
      </extLst>
    </bk>
    <bk>
      <extLst>
        <ext uri="{3e2802c4-a4d2-4d8b-9148-e3be6c30e623}">
          <xlrd:rvb i="2274"/>
        </ext>
      </extLst>
    </bk>
    <bk>
      <extLst>
        <ext uri="{3e2802c4-a4d2-4d8b-9148-e3be6c30e623}">
          <xlrd:rvb i="2275"/>
        </ext>
      </extLst>
    </bk>
    <bk>
      <extLst>
        <ext uri="{3e2802c4-a4d2-4d8b-9148-e3be6c30e623}">
          <xlrd:rvb i="2276"/>
        </ext>
      </extLst>
    </bk>
    <bk>
      <extLst>
        <ext uri="{3e2802c4-a4d2-4d8b-9148-e3be6c30e623}">
          <xlrd:rvb i="2277"/>
        </ext>
      </extLst>
    </bk>
    <bk>
      <extLst>
        <ext uri="{3e2802c4-a4d2-4d8b-9148-e3be6c30e623}">
          <xlrd:rvb i="2278"/>
        </ext>
      </extLst>
    </bk>
    <bk>
      <extLst>
        <ext uri="{3e2802c4-a4d2-4d8b-9148-e3be6c30e623}">
          <xlrd:rvb i="2279"/>
        </ext>
      </extLst>
    </bk>
    <bk>
      <extLst>
        <ext uri="{3e2802c4-a4d2-4d8b-9148-e3be6c30e623}">
          <xlrd:rvb i="2280"/>
        </ext>
      </extLst>
    </bk>
    <bk>
      <extLst>
        <ext uri="{3e2802c4-a4d2-4d8b-9148-e3be6c30e623}">
          <xlrd:rvb i="2281"/>
        </ext>
      </extLst>
    </bk>
    <bk>
      <extLst>
        <ext uri="{3e2802c4-a4d2-4d8b-9148-e3be6c30e623}">
          <xlrd:rvb i="2282"/>
        </ext>
      </extLst>
    </bk>
    <bk>
      <extLst>
        <ext uri="{3e2802c4-a4d2-4d8b-9148-e3be6c30e623}">
          <xlrd:rvb i="2283"/>
        </ext>
      </extLst>
    </bk>
    <bk>
      <extLst>
        <ext uri="{3e2802c4-a4d2-4d8b-9148-e3be6c30e623}">
          <xlrd:rvb i="2284"/>
        </ext>
      </extLst>
    </bk>
    <bk>
      <extLst>
        <ext uri="{3e2802c4-a4d2-4d8b-9148-e3be6c30e623}">
          <xlrd:rvb i="2285"/>
        </ext>
      </extLst>
    </bk>
    <bk>
      <extLst>
        <ext uri="{3e2802c4-a4d2-4d8b-9148-e3be6c30e623}">
          <xlrd:rvb i="2286"/>
        </ext>
      </extLst>
    </bk>
    <bk>
      <extLst>
        <ext uri="{3e2802c4-a4d2-4d8b-9148-e3be6c30e623}">
          <xlrd:rvb i="2287"/>
        </ext>
      </extLst>
    </bk>
    <bk>
      <extLst>
        <ext uri="{3e2802c4-a4d2-4d8b-9148-e3be6c30e623}">
          <xlrd:rvb i="2288"/>
        </ext>
      </extLst>
    </bk>
    <bk>
      <extLst>
        <ext uri="{3e2802c4-a4d2-4d8b-9148-e3be6c30e623}">
          <xlrd:rvb i="2289"/>
        </ext>
      </extLst>
    </bk>
    <bk>
      <extLst>
        <ext uri="{3e2802c4-a4d2-4d8b-9148-e3be6c30e623}">
          <xlrd:rvb i="2290"/>
        </ext>
      </extLst>
    </bk>
    <bk>
      <extLst>
        <ext uri="{3e2802c4-a4d2-4d8b-9148-e3be6c30e623}">
          <xlrd:rvb i="2291"/>
        </ext>
      </extLst>
    </bk>
    <bk>
      <extLst>
        <ext uri="{3e2802c4-a4d2-4d8b-9148-e3be6c30e623}">
          <xlrd:rvb i="2292"/>
        </ext>
      </extLst>
    </bk>
    <bk>
      <extLst>
        <ext uri="{3e2802c4-a4d2-4d8b-9148-e3be6c30e623}">
          <xlrd:rvb i="2293"/>
        </ext>
      </extLst>
    </bk>
    <bk>
      <extLst>
        <ext uri="{3e2802c4-a4d2-4d8b-9148-e3be6c30e623}">
          <xlrd:rvb i="2294"/>
        </ext>
      </extLst>
    </bk>
    <bk>
      <extLst>
        <ext uri="{3e2802c4-a4d2-4d8b-9148-e3be6c30e623}">
          <xlrd:rvb i="2295"/>
        </ext>
      </extLst>
    </bk>
    <bk>
      <extLst>
        <ext uri="{3e2802c4-a4d2-4d8b-9148-e3be6c30e623}">
          <xlrd:rvb i="2296"/>
        </ext>
      </extLst>
    </bk>
    <bk>
      <extLst>
        <ext uri="{3e2802c4-a4d2-4d8b-9148-e3be6c30e623}">
          <xlrd:rvb i="2297"/>
        </ext>
      </extLst>
    </bk>
    <bk>
      <extLst>
        <ext uri="{3e2802c4-a4d2-4d8b-9148-e3be6c30e623}">
          <xlrd:rvb i="2298"/>
        </ext>
      </extLst>
    </bk>
    <bk>
      <extLst>
        <ext uri="{3e2802c4-a4d2-4d8b-9148-e3be6c30e623}">
          <xlrd:rvb i="2299"/>
        </ext>
      </extLst>
    </bk>
    <bk>
      <extLst>
        <ext uri="{3e2802c4-a4d2-4d8b-9148-e3be6c30e623}">
          <xlrd:rvb i="2300"/>
        </ext>
      </extLst>
    </bk>
    <bk>
      <extLst>
        <ext uri="{3e2802c4-a4d2-4d8b-9148-e3be6c30e623}">
          <xlrd:rvb i="2301"/>
        </ext>
      </extLst>
    </bk>
    <bk>
      <extLst>
        <ext uri="{3e2802c4-a4d2-4d8b-9148-e3be6c30e623}">
          <xlrd:rvb i="2302"/>
        </ext>
      </extLst>
    </bk>
    <bk>
      <extLst>
        <ext uri="{3e2802c4-a4d2-4d8b-9148-e3be6c30e623}">
          <xlrd:rvb i="2303"/>
        </ext>
      </extLst>
    </bk>
    <bk>
      <extLst>
        <ext uri="{3e2802c4-a4d2-4d8b-9148-e3be6c30e623}">
          <xlrd:rvb i="2304"/>
        </ext>
      </extLst>
    </bk>
    <bk>
      <extLst>
        <ext uri="{3e2802c4-a4d2-4d8b-9148-e3be6c30e623}">
          <xlrd:rvb i="2305"/>
        </ext>
      </extLst>
    </bk>
    <bk>
      <extLst>
        <ext uri="{3e2802c4-a4d2-4d8b-9148-e3be6c30e623}">
          <xlrd:rvb i="2306"/>
        </ext>
      </extLst>
    </bk>
    <bk>
      <extLst>
        <ext uri="{3e2802c4-a4d2-4d8b-9148-e3be6c30e623}">
          <xlrd:rvb i="2307"/>
        </ext>
      </extLst>
    </bk>
    <bk>
      <extLst>
        <ext uri="{3e2802c4-a4d2-4d8b-9148-e3be6c30e623}">
          <xlrd:rvb i="2308"/>
        </ext>
      </extLst>
    </bk>
    <bk>
      <extLst>
        <ext uri="{3e2802c4-a4d2-4d8b-9148-e3be6c30e623}">
          <xlrd:rvb i="2309"/>
        </ext>
      </extLst>
    </bk>
    <bk>
      <extLst>
        <ext uri="{3e2802c4-a4d2-4d8b-9148-e3be6c30e623}">
          <xlrd:rvb i="2310"/>
        </ext>
      </extLst>
    </bk>
    <bk>
      <extLst>
        <ext uri="{3e2802c4-a4d2-4d8b-9148-e3be6c30e623}">
          <xlrd:rvb i="2311"/>
        </ext>
      </extLst>
    </bk>
    <bk>
      <extLst>
        <ext uri="{3e2802c4-a4d2-4d8b-9148-e3be6c30e623}">
          <xlrd:rvb i="2312"/>
        </ext>
      </extLst>
    </bk>
    <bk>
      <extLst>
        <ext uri="{3e2802c4-a4d2-4d8b-9148-e3be6c30e623}">
          <xlrd:rvb i="2313"/>
        </ext>
      </extLst>
    </bk>
    <bk>
      <extLst>
        <ext uri="{3e2802c4-a4d2-4d8b-9148-e3be6c30e623}">
          <xlrd:rvb i="2314"/>
        </ext>
      </extLst>
    </bk>
    <bk>
      <extLst>
        <ext uri="{3e2802c4-a4d2-4d8b-9148-e3be6c30e623}">
          <xlrd:rvb i="2315"/>
        </ext>
      </extLst>
    </bk>
    <bk>
      <extLst>
        <ext uri="{3e2802c4-a4d2-4d8b-9148-e3be6c30e623}">
          <xlrd:rvb i="2316"/>
        </ext>
      </extLst>
    </bk>
    <bk>
      <extLst>
        <ext uri="{3e2802c4-a4d2-4d8b-9148-e3be6c30e623}">
          <xlrd:rvb i="2317"/>
        </ext>
      </extLst>
    </bk>
    <bk>
      <extLst>
        <ext uri="{3e2802c4-a4d2-4d8b-9148-e3be6c30e623}">
          <xlrd:rvb i="2318"/>
        </ext>
      </extLst>
    </bk>
    <bk>
      <extLst>
        <ext uri="{3e2802c4-a4d2-4d8b-9148-e3be6c30e623}">
          <xlrd:rvb i="2319"/>
        </ext>
      </extLst>
    </bk>
    <bk>
      <extLst>
        <ext uri="{3e2802c4-a4d2-4d8b-9148-e3be6c30e623}">
          <xlrd:rvb i="2320"/>
        </ext>
      </extLst>
    </bk>
    <bk>
      <extLst>
        <ext uri="{3e2802c4-a4d2-4d8b-9148-e3be6c30e623}">
          <xlrd:rvb i="2321"/>
        </ext>
      </extLst>
    </bk>
    <bk>
      <extLst>
        <ext uri="{3e2802c4-a4d2-4d8b-9148-e3be6c30e623}">
          <xlrd:rvb i="2322"/>
        </ext>
      </extLst>
    </bk>
    <bk>
      <extLst>
        <ext uri="{3e2802c4-a4d2-4d8b-9148-e3be6c30e623}">
          <xlrd:rvb i="2323"/>
        </ext>
      </extLst>
    </bk>
    <bk>
      <extLst>
        <ext uri="{3e2802c4-a4d2-4d8b-9148-e3be6c30e623}">
          <xlrd:rvb i="2324"/>
        </ext>
      </extLst>
    </bk>
    <bk>
      <extLst>
        <ext uri="{3e2802c4-a4d2-4d8b-9148-e3be6c30e623}">
          <xlrd:rvb i="2325"/>
        </ext>
      </extLst>
    </bk>
    <bk>
      <extLst>
        <ext uri="{3e2802c4-a4d2-4d8b-9148-e3be6c30e623}">
          <xlrd:rvb i="2326"/>
        </ext>
      </extLst>
    </bk>
    <bk>
      <extLst>
        <ext uri="{3e2802c4-a4d2-4d8b-9148-e3be6c30e623}">
          <xlrd:rvb i="2327"/>
        </ext>
      </extLst>
    </bk>
    <bk>
      <extLst>
        <ext uri="{3e2802c4-a4d2-4d8b-9148-e3be6c30e623}">
          <xlrd:rvb i="2328"/>
        </ext>
      </extLst>
    </bk>
    <bk>
      <extLst>
        <ext uri="{3e2802c4-a4d2-4d8b-9148-e3be6c30e623}">
          <xlrd:rvb i="2329"/>
        </ext>
      </extLst>
    </bk>
    <bk>
      <extLst>
        <ext uri="{3e2802c4-a4d2-4d8b-9148-e3be6c30e623}">
          <xlrd:rvb i="2330"/>
        </ext>
      </extLst>
    </bk>
    <bk>
      <extLst>
        <ext uri="{3e2802c4-a4d2-4d8b-9148-e3be6c30e623}">
          <xlrd:rvb i="2331"/>
        </ext>
      </extLst>
    </bk>
    <bk>
      <extLst>
        <ext uri="{3e2802c4-a4d2-4d8b-9148-e3be6c30e623}">
          <xlrd:rvb i="2332"/>
        </ext>
      </extLst>
    </bk>
    <bk>
      <extLst>
        <ext uri="{3e2802c4-a4d2-4d8b-9148-e3be6c30e623}">
          <xlrd:rvb i="2333"/>
        </ext>
      </extLst>
    </bk>
    <bk>
      <extLst>
        <ext uri="{3e2802c4-a4d2-4d8b-9148-e3be6c30e623}">
          <xlrd:rvb i="2334"/>
        </ext>
      </extLst>
    </bk>
    <bk>
      <extLst>
        <ext uri="{3e2802c4-a4d2-4d8b-9148-e3be6c30e623}">
          <xlrd:rvb i="2335"/>
        </ext>
      </extLst>
    </bk>
    <bk>
      <extLst>
        <ext uri="{3e2802c4-a4d2-4d8b-9148-e3be6c30e623}">
          <xlrd:rvb i="2336"/>
        </ext>
      </extLst>
    </bk>
    <bk>
      <extLst>
        <ext uri="{3e2802c4-a4d2-4d8b-9148-e3be6c30e623}">
          <xlrd:rvb i="2337"/>
        </ext>
      </extLst>
    </bk>
    <bk>
      <extLst>
        <ext uri="{3e2802c4-a4d2-4d8b-9148-e3be6c30e623}">
          <xlrd:rvb i="2338"/>
        </ext>
      </extLst>
    </bk>
    <bk>
      <extLst>
        <ext uri="{3e2802c4-a4d2-4d8b-9148-e3be6c30e623}">
          <xlrd:rvb i="2339"/>
        </ext>
      </extLst>
    </bk>
    <bk>
      <extLst>
        <ext uri="{3e2802c4-a4d2-4d8b-9148-e3be6c30e623}">
          <xlrd:rvb i="2340"/>
        </ext>
      </extLst>
    </bk>
    <bk>
      <extLst>
        <ext uri="{3e2802c4-a4d2-4d8b-9148-e3be6c30e623}">
          <xlrd:rvb i="2341"/>
        </ext>
      </extLst>
    </bk>
    <bk>
      <extLst>
        <ext uri="{3e2802c4-a4d2-4d8b-9148-e3be6c30e623}">
          <xlrd:rvb i="2342"/>
        </ext>
      </extLst>
    </bk>
    <bk>
      <extLst>
        <ext uri="{3e2802c4-a4d2-4d8b-9148-e3be6c30e623}">
          <xlrd:rvb i="2343"/>
        </ext>
      </extLst>
    </bk>
    <bk>
      <extLst>
        <ext uri="{3e2802c4-a4d2-4d8b-9148-e3be6c30e623}">
          <xlrd:rvb i="2344"/>
        </ext>
      </extLst>
    </bk>
    <bk>
      <extLst>
        <ext uri="{3e2802c4-a4d2-4d8b-9148-e3be6c30e623}">
          <xlrd:rvb i="2345"/>
        </ext>
      </extLst>
    </bk>
    <bk>
      <extLst>
        <ext uri="{3e2802c4-a4d2-4d8b-9148-e3be6c30e623}">
          <xlrd:rvb i="2346"/>
        </ext>
      </extLst>
    </bk>
    <bk>
      <extLst>
        <ext uri="{3e2802c4-a4d2-4d8b-9148-e3be6c30e623}">
          <xlrd:rvb i="2347"/>
        </ext>
      </extLst>
    </bk>
    <bk>
      <extLst>
        <ext uri="{3e2802c4-a4d2-4d8b-9148-e3be6c30e623}">
          <xlrd:rvb i="2348"/>
        </ext>
      </extLst>
    </bk>
    <bk>
      <extLst>
        <ext uri="{3e2802c4-a4d2-4d8b-9148-e3be6c30e623}">
          <xlrd:rvb i="2349"/>
        </ext>
      </extLst>
    </bk>
    <bk>
      <extLst>
        <ext uri="{3e2802c4-a4d2-4d8b-9148-e3be6c30e623}">
          <xlrd:rvb i="2350"/>
        </ext>
      </extLst>
    </bk>
    <bk>
      <extLst>
        <ext uri="{3e2802c4-a4d2-4d8b-9148-e3be6c30e623}">
          <xlrd:rvb i="2351"/>
        </ext>
      </extLst>
    </bk>
    <bk>
      <extLst>
        <ext uri="{3e2802c4-a4d2-4d8b-9148-e3be6c30e623}">
          <xlrd:rvb i="2352"/>
        </ext>
      </extLst>
    </bk>
    <bk>
      <extLst>
        <ext uri="{3e2802c4-a4d2-4d8b-9148-e3be6c30e623}">
          <xlrd:rvb i="2353"/>
        </ext>
      </extLst>
    </bk>
    <bk>
      <extLst>
        <ext uri="{3e2802c4-a4d2-4d8b-9148-e3be6c30e623}">
          <xlrd:rvb i="2354"/>
        </ext>
      </extLst>
    </bk>
    <bk>
      <extLst>
        <ext uri="{3e2802c4-a4d2-4d8b-9148-e3be6c30e623}">
          <xlrd:rvb i="2355"/>
        </ext>
      </extLst>
    </bk>
    <bk>
      <extLst>
        <ext uri="{3e2802c4-a4d2-4d8b-9148-e3be6c30e623}">
          <xlrd:rvb i="2356"/>
        </ext>
      </extLst>
    </bk>
    <bk>
      <extLst>
        <ext uri="{3e2802c4-a4d2-4d8b-9148-e3be6c30e623}">
          <xlrd:rvb i="2357"/>
        </ext>
      </extLst>
    </bk>
    <bk>
      <extLst>
        <ext uri="{3e2802c4-a4d2-4d8b-9148-e3be6c30e623}">
          <xlrd:rvb i="2358"/>
        </ext>
      </extLst>
    </bk>
    <bk>
      <extLst>
        <ext uri="{3e2802c4-a4d2-4d8b-9148-e3be6c30e623}">
          <xlrd:rvb i="2359"/>
        </ext>
      </extLst>
    </bk>
    <bk>
      <extLst>
        <ext uri="{3e2802c4-a4d2-4d8b-9148-e3be6c30e623}">
          <xlrd:rvb i="2360"/>
        </ext>
      </extLst>
    </bk>
    <bk>
      <extLst>
        <ext uri="{3e2802c4-a4d2-4d8b-9148-e3be6c30e623}">
          <xlrd:rvb i="2361"/>
        </ext>
      </extLst>
    </bk>
    <bk>
      <extLst>
        <ext uri="{3e2802c4-a4d2-4d8b-9148-e3be6c30e623}">
          <xlrd:rvb i="2362"/>
        </ext>
      </extLst>
    </bk>
    <bk>
      <extLst>
        <ext uri="{3e2802c4-a4d2-4d8b-9148-e3be6c30e623}">
          <xlrd:rvb i="2363"/>
        </ext>
      </extLst>
    </bk>
    <bk>
      <extLst>
        <ext uri="{3e2802c4-a4d2-4d8b-9148-e3be6c30e623}">
          <xlrd:rvb i="2364"/>
        </ext>
      </extLst>
    </bk>
    <bk>
      <extLst>
        <ext uri="{3e2802c4-a4d2-4d8b-9148-e3be6c30e623}">
          <xlrd:rvb i="2365"/>
        </ext>
      </extLst>
    </bk>
    <bk>
      <extLst>
        <ext uri="{3e2802c4-a4d2-4d8b-9148-e3be6c30e623}">
          <xlrd:rvb i="2366"/>
        </ext>
      </extLst>
    </bk>
    <bk>
      <extLst>
        <ext uri="{3e2802c4-a4d2-4d8b-9148-e3be6c30e623}">
          <xlrd:rvb i="2367"/>
        </ext>
      </extLst>
    </bk>
    <bk>
      <extLst>
        <ext uri="{3e2802c4-a4d2-4d8b-9148-e3be6c30e623}">
          <xlrd:rvb i="2368"/>
        </ext>
      </extLst>
    </bk>
    <bk>
      <extLst>
        <ext uri="{3e2802c4-a4d2-4d8b-9148-e3be6c30e623}">
          <xlrd:rvb i="2369"/>
        </ext>
      </extLst>
    </bk>
    <bk>
      <extLst>
        <ext uri="{3e2802c4-a4d2-4d8b-9148-e3be6c30e623}">
          <xlrd:rvb i="2370"/>
        </ext>
      </extLst>
    </bk>
    <bk>
      <extLst>
        <ext uri="{3e2802c4-a4d2-4d8b-9148-e3be6c30e623}">
          <xlrd:rvb i="2371"/>
        </ext>
      </extLst>
    </bk>
    <bk>
      <extLst>
        <ext uri="{3e2802c4-a4d2-4d8b-9148-e3be6c30e623}">
          <xlrd:rvb i="2372"/>
        </ext>
      </extLst>
    </bk>
    <bk>
      <extLst>
        <ext uri="{3e2802c4-a4d2-4d8b-9148-e3be6c30e623}">
          <xlrd:rvb i="2373"/>
        </ext>
      </extLst>
    </bk>
    <bk>
      <extLst>
        <ext uri="{3e2802c4-a4d2-4d8b-9148-e3be6c30e623}">
          <xlrd:rvb i="2374"/>
        </ext>
      </extLst>
    </bk>
    <bk>
      <extLst>
        <ext uri="{3e2802c4-a4d2-4d8b-9148-e3be6c30e623}">
          <xlrd:rvb i="2375"/>
        </ext>
      </extLst>
    </bk>
    <bk>
      <extLst>
        <ext uri="{3e2802c4-a4d2-4d8b-9148-e3be6c30e623}">
          <xlrd:rvb i="2376"/>
        </ext>
      </extLst>
    </bk>
    <bk>
      <extLst>
        <ext uri="{3e2802c4-a4d2-4d8b-9148-e3be6c30e623}">
          <xlrd:rvb i="2377"/>
        </ext>
      </extLst>
    </bk>
    <bk>
      <extLst>
        <ext uri="{3e2802c4-a4d2-4d8b-9148-e3be6c30e623}">
          <xlrd:rvb i="2378"/>
        </ext>
      </extLst>
    </bk>
    <bk>
      <extLst>
        <ext uri="{3e2802c4-a4d2-4d8b-9148-e3be6c30e623}">
          <xlrd:rvb i="2379"/>
        </ext>
      </extLst>
    </bk>
    <bk>
      <extLst>
        <ext uri="{3e2802c4-a4d2-4d8b-9148-e3be6c30e623}">
          <xlrd:rvb i="2380"/>
        </ext>
      </extLst>
    </bk>
    <bk>
      <extLst>
        <ext uri="{3e2802c4-a4d2-4d8b-9148-e3be6c30e623}">
          <xlrd:rvb i="2381"/>
        </ext>
      </extLst>
    </bk>
    <bk>
      <extLst>
        <ext uri="{3e2802c4-a4d2-4d8b-9148-e3be6c30e623}">
          <xlrd:rvb i="2382"/>
        </ext>
      </extLst>
    </bk>
    <bk>
      <extLst>
        <ext uri="{3e2802c4-a4d2-4d8b-9148-e3be6c30e623}">
          <xlrd:rvb i="2383"/>
        </ext>
      </extLst>
    </bk>
    <bk>
      <extLst>
        <ext uri="{3e2802c4-a4d2-4d8b-9148-e3be6c30e623}">
          <xlrd:rvb i="2384"/>
        </ext>
      </extLst>
    </bk>
    <bk>
      <extLst>
        <ext uri="{3e2802c4-a4d2-4d8b-9148-e3be6c30e623}">
          <xlrd:rvb i="2385"/>
        </ext>
      </extLst>
    </bk>
    <bk>
      <extLst>
        <ext uri="{3e2802c4-a4d2-4d8b-9148-e3be6c30e623}">
          <xlrd:rvb i="2386"/>
        </ext>
      </extLst>
    </bk>
    <bk>
      <extLst>
        <ext uri="{3e2802c4-a4d2-4d8b-9148-e3be6c30e623}">
          <xlrd:rvb i="2387"/>
        </ext>
      </extLst>
    </bk>
    <bk>
      <extLst>
        <ext uri="{3e2802c4-a4d2-4d8b-9148-e3be6c30e623}">
          <xlrd:rvb i="2388"/>
        </ext>
      </extLst>
    </bk>
    <bk>
      <extLst>
        <ext uri="{3e2802c4-a4d2-4d8b-9148-e3be6c30e623}">
          <xlrd:rvb i="2389"/>
        </ext>
      </extLst>
    </bk>
    <bk>
      <extLst>
        <ext uri="{3e2802c4-a4d2-4d8b-9148-e3be6c30e623}">
          <xlrd:rvb i="2390"/>
        </ext>
      </extLst>
    </bk>
    <bk>
      <extLst>
        <ext uri="{3e2802c4-a4d2-4d8b-9148-e3be6c30e623}">
          <xlrd:rvb i="2391"/>
        </ext>
      </extLst>
    </bk>
    <bk>
      <extLst>
        <ext uri="{3e2802c4-a4d2-4d8b-9148-e3be6c30e623}">
          <xlrd:rvb i="2392"/>
        </ext>
      </extLst>
    </bk>
    <bk>
      <extLst>
        <ext uri="{3e2802c4-a4d2-4d8b-9148-e3be6c30e623}">
          <xlrd:rvb i="2393"/>
        </ext>
      </extLst>
    </bk>
    <bk>
      <extLst>
        <ext uri="{3e2802c4-a4d2-4d8b-9148-e3be6c30e623}">
          <xlrd:rvb i="2394"/>
        </ext>
      </extLst>
    </bk>
    <bk>
      <extLst>
        <ext uri="{3e2802c4-a4d2-4d8b-9148-e3be6c30e623}">
          <xlrd:rvb i="2395"/>
        </ext>
      </extLst>
    </bk>
    <bk>
      <extLst>
        <ext uri="{3e2802c4-a4d2-4d8b-9148-e3be6c30e623}">
          <xlrd:rvb i="2396"/>
        </ext>
      </extLst>
    </bk>
    <bk>
      <extLst>
        <ext uri="{3e2802c4-a4d2-4d8b-9148-e3be6c30e623}">
          <xlrd:rvb i="2397"/>
        </ext>
      </extLst>
    </bk>
    <bk>
      <extLst>
        <ext uri="{3e2802c4-a4d2-4d8b-9148-e3be6c30e623}">
          <xlrd:rvb i="2398"/>
        </ext>
      </extLst>
    </bk>
    <bk>
      <extLst>
        <ext uri="{3e2802c4-a4d2-4d8b-9148-e3be6c30e623}">
          <xlrd:rvb i="2399"/>
        </ext>
      </extLst>
    </bk>
    <bk>
      <extLst>
        <ext uri="{3e2802c4-a4d2-4d8b-9148-e3be6c30e623}">
          <xlrd:rvb i="2400"/>
        </ext>
      </extLst>
    </bk>
    <bk>
      <extLst>
        <ext uri="{3e2802c4-a4d2-4d8b-9148-e3be6c30e623}">
          <xlrd:rvb i="2401"/>
        </ext>
      </extLst>
    </bk>
    <bk>
      <extLst>
        <ext uri="{3e2802c4-a4d2-4d8b-9148-e3be6c30e623}">
          <xlrd:rvb i="2402"/>
        </ext>
      </extLst>
    </bk>
    <bk>
      <extLst>
        <ext uri="{3e2802c4-a4d2-4d8b-9148-e3be6c30e623}">
          <xlrd:rvb i="2403"/>
        </ext>
      </extLst>
    </bk>
    <bk>
      <extLst>
        <ext uri="{3e2802c4-a4d2-4d8b-9148-e3be6c30e623}">
          <xlrd:rvb i="2404"/>
        </ext>
      </extLst>
    </bk>
    <bk>
      <extLst>
        <ext uri="{3e2802c4-a4d2-4d8b-9148-e3be6c30e623}">
          <xlrd:rvb i="2405"/>
        </ext>
      </extLst>
    </bk>
    <bk>
      <extLst>
        <ext uri="{3e2802c4-a4d2-4d8b-9148-e3be6c30e623}">
          <xlrd:rvb i="2406"/>
        </ext>
      </extLst>
    </bk>
    <bk>
      <extLst>
        <ext uri="{3e2802c4-a4d2-4d8b-9148-e3be6c30e623}">
          <xlrd:rvb i="2407"/>
        </ext>
      </extLst>
    </bk>
    <bk>
      <extLst>
        <ext uri="{3e2802c4-a4d2-4d8b-9148-e3be6c30e623}">
          <xlrd:rvb i="2408"/>
        </ext>
      </extLst>
    </bk>
    <bk>
      <extLst>
        <ext uri="{3e2802c4-a4d2-4d8b-9148-e3be6c30e623}">
          <xlrd:rvb i="2409"/>
        </ext>
      </extLst>
    </bk>
    <bk>
      <extLst>
        <ext uri="{3e2802c4-a4d2-4d8b-9148-e3be6c30e623}">
          <xlrd:rvb i="2410"/>
        </ext>
      </extLst>
    </bk>
    <bk>
      <extLst>
        <ext uri="{3e2802c4-a4d2-4d8b-9148-e3be6c30e623}">
          <xlrd:rvb i="2411"/>
        </ext>
      </extLst>
    </bk>
    <bk>
      <extLst>
        <ext uri="{3e2802c4-a4d2-4d8b-9148-e3be6c30e623}">
          <xlrd:rvb i="2412"/>
        </ext>
      </extLst>
    </bk>
    <bk>
      <extLst>
        <ext uri="{3e2802c4-a4d2-4d8b-9148-e3be6c30e623}">
          <xlrd:rvb i="2413"/>
        </ext>
      </extLst>
    </bk>
    <bk>
      <extLst>
        <ext uri="{3e2802c4-a4d2-4d8b-9148-e3be6c30e623}">
          <xlrd:rvb i="2414"/>
        </ext>
      </extLst>
    </bk>
    <bk>
      <extLst>
        <ext uri="{3e2802c4-a4d2-4d8b-9148-e3be6c30e623}">
          <xlrd:rvb i="2415"/>
        </ext>
      </extLst>
    </bk>
    <bk>
      <extLst>
        <ext uri="{3e2802c4-a4d2-4d8b-9148-e3be6c30e623}">
          <xlrd:rvb i="2416"/>
        </ext>
      </extLst>
    </bk>
    <bk>
      <extLst>
        <ext uri="{3e2802c4-a4d2-4d8b-9148-e3be6c30e623}">
          <xlrd:rvb i="2417"/>
        </ext>
      </extLst>
    </bk>
    <bk>
      <extLst>
        <ext uri="{3e2802c4-a4d2-4d8b-9148-e3be6c30e623}">
          <xlrd:rvb i="2418"/>
        </ext>
      </extLst>
    </bk>
    <bk>
      <extLst>
        <ext uri="{3e2802c4-a4d2-4d8b-9148-e3be6c30e623}">
          <xlrd:rvb i="2419"/>
        </ext>
      </extLst>
    </bk>
    <bk>
      <extLst>
        <ext uri="{3e2802c4-a4d2-4d8b-9148-e3be6c30e623}">
          <xlrd:rvb i="2420"/>
        </ext>
      </extLst>
    </bk>
    <bk>
      <extLst>
        <ext uri="{3e2802c4-a4d2-4d8b-9148-e3be6c30e623}">
          <xlrd:rvb i="2421"/>
        </ext>
      </extLst>
    </bk>
    <bk>
      <extLst>
        <ext uri="{3e2802c4-a4d2-4d8b-9148-e3be6c30e623}">
          <xlrd:rvb i="2422"/>
        </ext>
      </extLst>
    </bk>
    <bk>
      <extLst>
        <ext uri="{3e2802c4-a4d2-4d8b-9148-e3be6c30e623}">
          <xlrd:rvb i="2423"/>
        </ext>
      </extLst>
    </bk>
    <bk>
      <extLst>
        <ext uri="{3e2802c4-a4d2-4d8b-9148-e3be6c30e623}">
          <xlrd:rvb i="2424"/>
        </ext>
      </extLst>
    </bk>
    <bk>
      <extLst>
        <ext uri="{3e2802c4-a4d2-4d8b-9148-e3be6c30e623}">
          <xlrd:rvb i="2425"/>
        </ext>
      </extLst>
    </bk>
    <bk>
      <extLst>
        <ext uri="{3e2802c4-a4d2-4d8b-9148-e3be6c30e623}">
          <xlrd:rvb i="2426"/>
        </ext>
      </extLst>
    </bk>
    <bk>
      <extLst>
        <ext uri="{3e2802c4-a4d2-4d8b-9148-e3be6c30e623}">
          <xlrd:rvb i="2427"/>
        </ext>
      </extLst>
    </bk>
    <bk>
      <extLst>
        <ext uri="{3e2802c4-a4d2-4d8b-9148-e3be6c30e623}">
          <xlrd:rvb i="2428"/>
        </ext>
      </extLst>
    </bk>
    <bk>
      <extLst>
        <ext uri="{3e2802c4-a4d2-4d8b-9148-e3be6c30e623}">
          <xlrd:rvb i="2429"/>
        </ext>
      </extLst>
    </bk>
    <bk>
      <extLst>
        <ext uri="{3e2802c4-a4d2-4d8b-9148-e3be6c30e623}">
          <xlrd:rvb i="2430"/>
        </ext>
      </extLst>
    </bk>
    <bk>
      <extLst>
        <ext uri="{3e2802c4-a4d2-4d8b-9148-e3be6c30e623}">
          <xlrd:rvb i="2431"/>
        </ext>
      </extLst>
    </bk>
    <bk>
      <extLst>
        <ext uri="{3e2802c4-a4d2-4d8b-9148-e3be6c30e623}">
          <xlrd:rvb i="2432"/>
        </ext>
      </extLst>
    </bk>
    <bk>
      <extLst>
        <ext uri="{3e2802c4-a4d2-4d8b-9148-e3be6c30e623}">
          <xlrd:rvb i="2433"/>
        </ext>
      </extLst>
    </bk>
    <bk>
      <extLst>
        <ext uri="{3e2802c4-a4d2-4d8b-9148-e3be6c30e623}">
          <xlrd:rvb i="2434"/>
        </ext>
      </extLst>
    </bk>
    <bk>
      <extLst>
        <ext uri="{3e2802c4-a4d2-4d8b-9148-e3be6c30e623}">
          <xlrd:rvb i="2435"/>
        </ext>
      </extLst>
    </bk>
    <bk>
      <extLst>
        <ext uri="{3e2802c4-a4d2-4d8b-9148-e3be6c30e623}">
          <xlrd:rvb i="2436"/>
        </ext>
      </extLst>
    </bk>
    <bk>
      <extLst>
        <ext uri="{3e2802c4-a4d2-4d8b-9148-e3be6c30e623}">
          <xlrd:rvb i="2437"/>
        </ext>
      </extLst>
    </bk>
    <bk>
      <extLst>
        <ext uri="{3e2802c4-a4d2-4d8b-9148-e3be6c30e623}">
          <xlrd:rvb i="2438"/>
        </ext>
      </extLst>
    </bk>
    <bk>
      <extLst>
        <ext uri="{3e2802c4-a4d2-4d8b-9148-e3be6c30e623}">
          <xlrd:rvb i="2439"/>
        </ext>
      </extLst>
    </bk>
    <bk>
      <extLst>
        <ext uri="{3e2802c4-a4d2-4d8b-9148-e3be6c30e623}">
          <xlrd:rvb i="2440"/>
        </ext>
      </extLst>
    </bk>
    <bk>
      <extLst>
        <ext uri="{3e2802c4-a4d2-4d8b-9148-e3be6c30e623}">
          <xlrd:rvb i="2441"/>
        </ext>
      </extLst>
    </bk>
    <bk>
      <extLst>
        <ext uri="{3e2802c4-a4d2-4d8b-9148-e3be6c30e623}">
          <xlrd:rvb i="2442"/>
        </ext>
      </extLst>
    </bk>
    <bk>
      <extLst>
        <ext uri="{3e2802c4-a4d2-4d8b-9148-e3be6c30e623}">
          <xlrd:rvb i="2443"/>
        </ext>
      </extLst>
    </bk>
    <bk>
      <extLst>
        <ext uri="{3e2802c4-a4d2-4d8b-9148-e3be6c30e623}">
          <xlrd:rvb i="2444"/>
        </ext>
      </extLst>
    </bk>
    <bk>
      <extLst>
        <ext uri="{3e2802c4-a4d2-4d8b-9148-e3be6c30e623}">
          <xlrd:rvb i="2445"/>
        </ext>
      </extLst>
    </bk>
    <bk>
      <extLst>
        <ext uri="{3e2802c4-a4d2-4d8b-9148-e3be6c30e623}">
          <xlrd:rvb i="2446"/>
        </ext>
      </extLst>
    </bk>
    <bk>
      <extLst>
        <ext uri="{3e2802c4-a4d2-4d8b-9148-e3be6c30e623}">
          <xlrd:rvb i="2447"/>
        </ext>
      </extLst>
    </bk>
    <bk>
      <extLst>
        <ext uri="{3e2802c4-a4d2-4d8b-9148-e3be6c30e623}">
          <xlrd:rvb i="2448"/>
        </ext>
      </extLst>
    </bk>
    <bk>
      <extLst>
        <ext uri="{3e2802c4-a4d2-4d8b-9148-e3be6c30e623}">
          <xlrd:rvb i="2449"/>
        </ext>
      </extLst>
    </bk>
    <bk>
      <extLst>
        <ext uri="{3e2802c4-a4d2-4d8b-9148-e3be6c30e623}">
          <xlrd:rvb i="2450"/>
        </ext>
      </extLst>
    </bk>
    <bk>
      <extLst>
        <ext uri="{3e2802c4-a4d2-4d8b-9148-e3be6c30e623}">
          <xlrd:rvb i="2451"/>
        </ext>
      </extLst>
    </bk>
    <bk>
      <extLst>
        <ext uri="{3e2802c4-a4d2-4d8b-9148-e3be6c30e623}">
          <xlrd:rvb i="2452"/>
        </ext>
      </extLst>
    </bk>
    <bk>
      <extLst>
        <ext uri="{3e2802c4-a4d2-4d8b-9148-e3be6c30e623}">
          <xlrd:rvb i="2453"/>
        </ext>
      </extLst>
    </bk>
    <bk>
      <extLst>
        <ext uri="{3e2802c4-a4d2-4d8b-9148-e3be6c30e623}">
          <xlrd:rvb i="2454"/>
        </ext>
      </extLst>
    </bk>
    <bk>
      <extLst>
        <ext uri="{3e2802c4-a4d2-4d8b-9148-e3be6c30e623}">
          <xlrd:rvb i="2455"/>
        </ext>
      </extLst>
    </bk>
    <bk>
      <extLst>
        <ext uri="{3e2802c4-a4d2-4d8b-9148-e3be6c30e623}">
          <xlrd:rvb i="2456"/>
        </ext>
      </extLst>
    </bk>
    <bk>
      <extLst>
        <ext uri="{3e2802c4-a4d2-4d8b-9148-e3be6c30e623}">
          <xlrd:rvb i="2457"/>
        </ext>
      </extLst>
    </bk>
    <bk>
      <extLst>
        <ext uri="{3e2802c4-a4d2-4d8b-9148-e3be6c30e623}">
          <xlrd:rvb i="2458"/>
        </ext>
      </extLst>
    </bk>
    <bk>
      <extLst>
        <ext uri="{3e2802c4-a4d2-4d8b-9148-e3be6c30e623}">
          <xlrd:rvb i="2459"/>
        </ext>
      </extLst>
    </bk>
    <bk>
      <extLst>
        <ext uri="{3e2802c4-a4d2-4d8b-9148-e3be6c30e623}">
          <xlrd:rvb i="2460"/>
        </ext>
      </extLst>
    </bk>
    <bk>
      <extLst>
        <ext uri="{3e2802c4-a4d2-4d8b-9148-e3be6c30e623}">
          <xlrd:rvb i="2461"/>
        </ext>
      </extLst>
    </bk>
    <bk>
      <extLst>
        <ext uri="{3e2802c4-a4d2-4d8b-9148-e3be6c30e623}">
          <xlrd:rvb i="2462"/>
        </ext>
      </extLst>
    </bk>
    <bk>
      <extLst>
        <ext uri="{3e2802c4-a4d2-4d8b-9148-e3be6c30e623}">
          <xlrd:rvb i="2463"/>
        </ext>
      </extLst>
    </bk>
    <bk>
      <extLst>
        <ext uri="{3e2802c4-a4d2-4d8b-9148-e3be6c30e623}">
          <xlrd:rvb i="2464"/>
        </ext>
      </extLst>
    </bk>
    <bk>
      <extLst>
        <ext uri="{3e2802c4-a4d2-4d8b-9148-e3be6c30e623}">
          <xlrd:rvb i="2465"/>
        </ext>
      </extLst>
    </bk>
    <bk>
      <extLst>
        <ext uri="{3e2802c4-a4d2-4d8b-9148-e3be6c30e623}">
          <xlrd:rvb i="2466"/>
        </ext>
      </extLst>
    </bk>
    <bk>
      <extLst>
        <ext uri="{3e2802c4-a4d2-4d8b-9148-e3be6c30e623}">
          <xlrd:rvb i="2467"/>
        </ext>
      </extLst>
    </bk>
    <bk>
      <extLst>
        <ext uri="{3e2802c4-a4d2-4d8b-9148-e3be6c30e623}">
          <xlrd:rvb i="2468"/>
        </ext>
      </extLst>
    </bk>
    <bk>
      <extLst>
        <ext uri="{3e2802c4-a4d2-4d8b-9148-e3be6c30e623}">
          <xlrd:rvb i="2469"/>
        </ext>
      </extLst>
    </bk>
    <bk>
      <extLst>
        <ext uri="{3e2802c4-a4d2-4d8b-9148-e3be6c30e623}">
          <xlrd:rvb i="2470"/>
        </ext>
      </extLst>
    </bk>
    <bk>
      <extLst>
        <ext uri="{3e2802c4-a4d2-4d8b-9148-e3be6c30e623}">
          <xlrd:rvb i="2471"/>
        </ext>
      </extLst>
    </bk>
    <bk>
      <extLst>
        <ext uri="{3e2802c4-a4d2-4d8b-9148-e3be6c30e623}">
          <xlrd:rvb i="2472"/>
        </ext>
      </extLst>
    </bk>
    <bk>
      <extLst>
        <ext uri="{3e2802c4-a4d2-4d8b-9148-e3be6c30e623}">
          <xlrd:rvb i="2473"/>
        </ext>
      </extLst>
    </bk>
    <bk>
      <extLst>
        <ext uri="{3e2802c4-a4d2-4d8b-9148-e3be6c30e623}">
          <xlrd:rvb i="2474"/>
        </ext>
      </extLst>
    </bk>
    <bk>
      <extLst>
        <ext uri="{3e2802c4-a4d2-4d8b-9148-e3be6c30e623}">
          <xlrd:rvb i="2475"/>
        </ext>
      </extLst>
    </bk>
    <bk>
      <extLst>
        <ext uri="{3e2802c4-a4d2-4d8b-9148-e3be6c30e623}">
          <xlrd:rvb i="2476"/>
        </ext>
      </extLst>
    </bk>
    <bk>
      <extLst>
        <ext uri="{3e2802c4-a4d2-4d8b-9148-e3be6c30e623}">
          <xlrd:rvb i="2477"/>
        </ext>
      </extLst>
    </bk>
    <bk>
      <extLst>
        <ext uri="{3e2802c4-a4d2-4d8b-9148-e3be6c30e623}">
          <xlrd:rvb i="2478"/>
        </ext>
      </extLst>
    </bk>
    <bk>
      <extLst>
        <ext uri="{3e2802c4-a4d2-4d8b-9148-e3be6c30e623}">
          <xlrd:rvb i="2479"/>
        </ext>
      </extLst>
    </bk>
    <bk>
      <extLst>
        <ext uri="{3e2802c4-a4d2-4d8b-9148-e3be6c30e623}">
          <xlrd:rvb i="2480"/>
        </ext>
      </extLst>
    </bk>
    <bk>
      <extLst>
        <ext uri="{3e2802c4-a4d2-4d8b-9148-e3be6c30e623}">
          <xlrd:rvb i="2481"/>
        </ext>
      </extLst>
    </bk>
    <bk>
      <extLst>
        <ext uri="{3e2802c4-a4d2-4d8b-9148-e3be6c30e623}">
          <xlrd:rvb i="2482"/>
        </ext>
      </extLst>
    </bk>
    <bk>
      <extLst>
        <ext uri="{3e2802c4-a4d2-4d8b-9148-e3be6c30e623}">
          <xlrd:rvb i="2483"/>
        </ext>
      </extLst>
    </bk>
    <bk>
      <extLst>
        <ext uri="{3e2802c4-a4d2-4d8b-9148-e3be6c30e623}">
          <xlrd:rvb i="2484"/>
        </ext>
      </extLst>
    </bk>
    <bk>
      <extLst>
        <ext uri="{3e2802c4-a4d2-4d8b-9148-e3be6c30e623}">
          <xlrd:rvb i="2485"/>
        </ext>
      </extLst>
    </bk>
    <bk>
      <extLst>
        <ext uri="{3e2802c4-a4d2-4d8b-9148-e3be6c30e623}">
          <xlrd:rvb i="2486"/>
        </ext>
      </extLst>
    </bk>
    <bk>
      <extLst>
        <ext uri="{3e2802c4-a4d2-4d8b-9148-e3be6c30e623}">
          <xlrd:rvb i="2487"/>
        </ext>
      </extLst>
    </bk>
    <bk>
      <extLst>
        <ext uri="{3e2802c4-a4d2-4d8b-9148-e3be6c30e623}">
          <xlrd:rvb i="2488"/>
        </ext>
      </extLst>
    </bk>
    <bk>
      <extLst>
        <ext uri="{3e2802c4-a4d2-4d8b-9148-e3be6c30e623}">
          <xlrd:rvb i="2489"/>
        </ext>
      </extLst>
    </bk>
    <bk>
      <extLst>
        <ext uri="{3e2802c4-a4d2-4d8b-9148-e3be6c30e623}">
          <xlrd:rvb i="2490"/>
        </ext>
      </extLst>
    </bk>
    <bk>
      <extLst>
        <ext uri="{3e2802c4-a4d2-4d8b-9148-e3be6c30e623}">
          <xlrd:rvb i="2491"/>
        </ext>
      </extLst>
    </bk>
    <bk>
      <extLst>
        <ext uri="{3e2802c4-a4d2-4d8b-9148-e3be6c30e623}">
          <xlrd:rvb i="2492"/>
        </ext>
      </extLst>
    </bk>
    <bk>
      <extLst>
        <ext uri="{3e2802c4-a4d2-4d8b-9148-e3be6c30e623}">
          <xlrd:rvb i="2493"/>
        </ext>
      </extLst>
    </bk>
    <bk>
      <extLst>
        <ext uri="{3e2802c4-a4d2-4d8b-9148-e3be6c30e623}">
          <xlrd:rvb i="2494"/>
        </ext>
      </extLst>
    </bk>
    <bk>
      <extLst>
        <ext uri="{3e2802c4-a4d2-4d8b-9148-e3be6c30e623}">
          <xlrd:rvb i="2495"/>
        </ext>
      </extLst>
    </bk>
    <bk>
      <extLst>
        <ext uri="{3e2802c4-a4d2-4d8b-9148-e3be6c30e623}">
          <xlrd:rvb i="2496"/>
        </ext>
      </extLst>
    </bk>
    <bk>
      <extLst>
        <ext uri="{3e2802c4-a4d2-4d8b-9148-e3be6c30e623}">
          <xlrd:rvb i="2497"/>
        </ext>
      </extLst>
    </bk>
    <bk>
      <extLst>
        <ext uri="{3e2802c4-a4d2-4d8b-9148-e3be6c30e623}">
          <xlrd:rvb i="2498"/>
        </ext>
      </extLst>
    </bk>
    <bk>
      <extLst>
        <ext uri="{3e2802c4-a4d2-4d8b-9148-e3be6c30e623}">
          <xlrd:rvb i="2499"/>
        </ext>
      </extLst>
    </bk>
    <bk>
      <extLst>
        <ext uri="{3e2802c4-a4d2-4d8b-9148-e3be6c30e623}">
          <xlrd:rvb i="2500"/>
        </ext>
      </extLst>
    </bk>
    <bk>
      <extLst>
        <ext uri="{3e2802c4-a4d2-4d8b-9148-e3be6c30e623}">
          <xlrd:rvb i="2501"/>
        </ext>
      </extLst>
    </bk>
    <bk>
      <extLst>
        <ext uri="{3e2802c4-a4d2-4d8b-9148-e3be6c30e623}">
          <xlrd:rvb i="2502"/>
        </ext>
      </extLst>
    </bk>
    <bk>
      <extLst>
        <ext uri="{3e2802c4-a4d2-4d8b-9148-e3be6c30e623}">
          <xlrd:rvb i="2503"/>
        </ext>
      </extLst>
    </bk>
    <bk>
      <extLst>
        <ext uri="{3e2802c4-a4d2-4d8b-9148-e3be6c30e623}">
          <xlrd:rvb i="2504"/>
        </ext>
      </extLst>
    </bk>
    <bk>
      <extLst>
        <ext uri="{3e2802c4-a4d2-4d8b-9148-e3be6c30e623}">
          <xlrd:rvb i="2505"/>
        </ext>
      </extLst>
    </bk>
    <bk>
      <extLst>
        <ext uri="{3e2802c4-a4d2-4d8b-9148-e3be6c30e623}">
          <xlrd:rvb i="2506"/>
        </ext>
      </extLst>
    </bk>
    <bk>
      <extLst>
        <ext uri="{3e2802c4-a4d2-4d8b-9148-e3be6c30e623}">
          <xlrd:rvb i="2507"/>
        </ext>
      </extLst>
    </bk>
    <bk>
      <extLst>
        <ext uri="{3e2802c4-a4d2-4d8b-9148-e3be6c30e623}">
          <xlrd:rvb i="2508"/>
        </ext>
      </extLst>
    </bk>
    <bk>
      <extLst>
        <ext uri="{3e2802c4-a4d2-4d8b-9148-e3be6c30e623}">
          <xlrd:rvb i="2509"/>
        </ext>
      </extLst>
    </bk>
    <bk>
      <extLst>
        <ext uri="{3e2802c4-a4d2-4d8b-9148-e3be6c30e623}">
          <xlrd:rvb i="2510"/>
        </ext>
      </extLst>
    </bk>
    <bk>
      <extLst>
        <ext uri="{3e2802c4-a4d2-4d8b-9148-e3be6c30e623}">
          <xlrd:rvb i="2511"/>
        </ext>
      </extLst>
    </bk>
    <bk>
      <extLst>
        <ext uri="{3e2802c4-a4d2-4d8b-9148-e3be6c30e623}">
          <xlrd:rvb i="2512"/>
        </ext>
      </extLst>
    </bk>
    <bk>
      <extLst>
        <ext uri="{3e2802c4-a4d2-4d8b-9148-e3be6c30e623}">
          <xlrd:rvb i="2513"/>
        </ext>
      </extLst>
    </bk>
    <bk>
      <extLst>
        <ext uri="{3e2802c4-a4d2-4d8b-9148-e3be6c30e623}">
          <xlrd:rvb i="2514"/>
        </ext>
      </extLst>
    </bk>
    <bk>
      <extLst>
        <ext uri="{3e2802c4-a4d2-4d8b-9148-e3be6c30e623}">
          <xlrd:rvb i="2515"/>
        </ext>
      </extLst>
    </bk>
    <bk>
      <extLst>
        <ext uri="{3e2802c4-a4d2-4d8b-9148-e3be6c30e623}">
          <xlrd:rvb i="2516"/>
        </ext>
      </extLst>
    </bk>
    <bk>
      <extLst>
        <ext uri="{3e2802c4-a4d2-4d8b-9148-e3be6c30e623}">
          <xlrd:rvb i="2517"/>
        </ext>
      </extLst>
    </bk>
    <bk>
      <extLst>
        <ext uri="{3e2802c4-a4d2-4d8b-9148-e3be6c30e623}">
          <xlrd:rvb i="2518"/>
        </ext>
      </extLst>
    </bk>
    <bk>
      <extLst>
        <ext uri="{3e2802c4-a4d2-4d8b-9148-e3be6c30e623}">
          <xlrd:rvb i="2519"/>
        </ext>
      </extLst>
    </bk>
    <bk>
      <extLst>
        <ext uri="{3e2802c4-a4d2-4d8b-9148-e3be6c30e623}">
          <xlrd:rvb i="2520"/>
        </ext>
      </extLst>
    </bk>
    <bk>
      <extLst>
        <ext uri="{3e2802c4-a4d2-4d8b-9148-e3be6c30e623}">
          <xlrd:rvb i="2521"/>
        </ext>
      </extLst>
    </bk>
    <bk>
      <extLst>
        <ext uri="{3e2802c4-a4d2-4d8b-9148-e3be6c30e623}">
          <xlrd:rvb i="2522"/>
        </ext>
      </extLst>
    </bk>
    <bk>
      <extLst>
        <ext uri="{3e2802c4-a4d2-4d8b-9148-e3be6c30e623}">
          <xlrd:rvb i="2523"/>
        </ext>
      </extLst>
    </bk>
    <bk>
      <extLst>
        <ext uri="{3e2802c4-a4d2-4d8b-9148-e3be6c30e623}">
          <xlrd:rvb i="2524"/>
        </ext>
      </extLst>
    </bk>
    <bk>
      <extLst>
        <ext uri="{3e2802c4-a4d2-4d8b-9148-e3be6c30e623}">
          <xlrd:rvb i="2525"/>
        </ext>
      </extLst>
    </bk>
    <bk>
      <extLst>
        <ext uri="{3e2802c4-a4d2-4d8b-9148-e3be6c30e623}">
          <xlrd:rvb i="2526"/>
        </ext>
      </extLst>
    </bk>
    <bk>
      <extLst>
        <ext uri="{3e2802c4-a4d2-4d8b-9148-e3be6c30e623}">
          <xlrd:rvb i="2527"/>
        </ext>
      </extLst>
    </bk>
    <bk>
      <extLst>
        <ext uri="{3e2802c4-a4d2-4d8b-9148-e3be6c30e623}">
          <xlrd:rvb i="2528"/>
        </ext>
      </extLst>
    </bk>
    <bk>
      <extLst>
        <ext uri="{3e2802c4-a4d2-4d8b-9148-e3be6c30e623}">
          <xlrd:rvb i="2529"/>
        </ext>
      </extLst>
    </bk>
    <bk>
      <extLst>
        <ext uri="{3e2802c4-a4d2-4d8b-9148-e3be6c30e623}">
          <xlrd:rvb i="2530"/>
        </ext>
      </extLst>
    </bk>
    <bk>
      <extLst>
        <ext uri="{3e2802c4-a4d2-4d8b-9148-e3be6c30e623}">
          <xlrd:rvb i="2531"/>
        </ext>
      </extLst>
    </bk>
    <bk>
      <extLst>
        <ext uri="{3e2802c4-a4d2-4d8b-9148-e3be6c30e623}">
          <xlrd:rvb i="2532"/>
        </ext>
      </extLst>
    </bk>
    <bk>
      <extLst>
        <ext uri="{3e2802c4-a4d2-4d8b-9148-e3be6c30e623}">
          <xlrd:rvb i="2533"/>
        </ext>
      </extLst>
    </bk>
    <bk>
      <extLst>
        <ext uri="{3e2802c4-a4d2-4d8b-9148-e3be6c30e623}">
          <xlrd:rvb i="2534"/>
        </ext>
      </extLst>
    </bk>
    <bk>
      <extLst>
        <ext uri="{3e2802c4-a4d2-4d8b-9148-e3be6c30e623}">
          <xlrd:rvb i="2535"/>
        </ext>
      </extLst>
    </bk>
    <bk>
      <extLst>
        <ext uri="{3e2802c4-a4d2-4d8b-9148-e3be6c30e623}">
          <xlrd:rvb i="2536"/>
        </ext>
      </extLst>
    </bk>
    <bk>
      <extLst>
        <ext uri="{3e2802c4-a4d2-4d8b-9148-e3be6c30e623}">
          <xlrd:rvb i="2537"/>
        </ext>
      </extLst>
    </bk>
    <bk>
      <extLst>
        <ext uri="{3e2802c4-a4d2-4d8b-9148-e3be6c30e623}">
          <xlrd:rvb i="2538"/>
        </ext>
      </extLst>
    </bk>
    <bk>
      <extLst>
        <ext uri="{3e2802c4-a4d2-4d8b-9148-e3be6c30e623}">
          <xlrd:rvb i="2539"/>
        </ext>
      </extLst>
    </bk>
    <bk>
      <extLst>
        <ext uri="{3e2802c4-a4d2-4d8b-9148-e3be6c30e623}">
          <xlrd:rvb i="2540"/>
        </ext>
      </extLst>
    </bk>
    <bk>
      <extLst>
        <ext uri="{3e2802c4-a4d2-4d8b-9148-e3be6c30e623}">
          <xlrd:rvb i="2541"/>
        </ext>
      </extLst>
    </bk>
    <bk>
      <extLst>
        <ext uri="{3e2802c4-a4d2-4d8b-9148-e3be6c30e623}">
          <xlrd:rvb i="2542"/>
        </ext>
      </extLst>
    </bk>
    <bk>
      <extLst>
        <ext uri="{3e2802c4-a4d2-4d8b-9148-e3be6c30e623}">
          <xlrd:rvb i="2543"/>
        </ext>
      </extLst>
    </bk>
    <bk>
      <extLst>
        <ext uri="{3e2802c4-a4d2-4d8b-9148-e3be6c30e623}">
          <xlrd:rvb i="2544"/>
        </ext>
      </extLst>
    </bk>
    <bk>
      <extLst>
        <ext uri="{3e2802c4-a4d2-4d8b-9148-e3be6c30e623}">
          <xlrd:rvb i="2545"/>
        </ext>
      </extLst>
    </bk>
    <bk>
      <extLst>
        <ext uri="{3e2802c4-a4d2-4d8b-9148-e3be6c30e623}">
          <xlrd:rvb i="2546"/>
        </ext>
      </extLst>
    </bk>
    <bk>
      <extLst>
        <ext uri="{3e2802c4-a4d2-4d8b-9148-e3be6c30e623}">
          <xlrd:rvb i="2547"/>
        </ext>
      </extLst>
    </bk>
    <bk>
      <extLst>
        <ext uri="{3e2802c4-a4d2-4d8b-9148-e3be6c30e623}">
          <xlrd:rvb i="2548"/>
        </ext>
      </extLst>
    </bk>
    <bk>
      <extLst>
        <ext uri="{3e2802c4-a4d2-4d8b-9148-e3be6c30e623}">
          <xlrd:rvb i="2549"/>
        </ext>
      </extLst>
    </bk>
    <bk>
      <extLst>
        <ext uri="{3e2802c4-a4d2-4d8b-9148-e3be6c30e623}">
          <xlrd:rvb i="2550"/>
        </ext>
      </extLst>
    </bk>
    <bk>
      <extLst>
        <ext uri="{3e2802c4-a4d2-4d8b-9148-e3be6c30e623}">
          <xlrd:rvb i="2551"/>
        </ext>
      </extLst>
    </bk>
    <bk>
      <extLst>
        <ext uri="{3e2802c4-a4d2-4d8b-9148-e3be6c30e623}">
          <xlrd:rvb i="2552"/>
        </ext>
      </extLst>
    </bk>
    <bk>
      <extLst>
        <ext uri="{3e2802c4-a4d2-4d8b-9148-e3be6c30e623}">
          <xlrd:rvb i="2553"/>
        </ext>
      </extLst>
    </bk>
    <bk>
      <extLst>
        <ext uri="{3e2802c4-a4d2-4d8b-9148-e3be6c30e623}">
          <xlrd:rvb i="2554"/>
        </ext>
      </extLst>
    </bk>
    <bk>
      <extLst>
        <ext uri="{3e2802c4-a4d2-4d8b-9148-e3be6c30e623}">
          <xlrd:rvb i="2555"/>
        </ext>
      </extLst>
    </bk>
    <bk>
      <extLst>
        <ext uri="{3e2802c4-a4d2-4d8b-9148-e3be6c30e623}">
          <xlrd:rvb i="2556"/>
        </ext>
      </extLst>
    </bk>
    <bk>
      <extLst>
        <ext uri="{3e2802c4-a4d2-4d8b-9148-e3be6c30e623}">
          <xlrd:rvb i="2557"/>
        </ext>
      </extLst>
    </bk>
    <bk>
      <extLst>
        <ext uri="{3e2802c4-a4d2-4d8b-9148-e3be6c30e623}">
          <xlrd:rvb i="2558"/>
        </ext>
      </extLst>
    </bk>
    <bk>
      <extLst>
        <ext uri="{3e2802c4-a4d2-4d8b-9148-e3be6c30e623}">
          <xlrd:rvb i="2559"/>
        </ext>
      </extLst>
    </bk>
    <bk>
      <extLst>
        <ext uri="{3e2802c4-a4d2-4d8b-9148-e3be6c30e623}">
          <xlrd:rvb i="2560"/>
        </ext>
      </extLst>
    </bk>
    <bk>
      <extLst>
        <ext uri="{3e2802c4-a4d2-4d8b-9148-e3be6c30e623}">
          <xlrd:rvb i="2561"/>
        </ext>
      </extLst>
    </bk>
    <bk>
      <extLst>
        <ext uri="{3e2802c4-a4d2-4d8b-9148-e3be6c30e623}">
          <xlrd:rvb i="2562"/>
        </ext>
      </extLst>
    </bk>
    <bk>
      <extLst>
        <ext uri="{3e2802c4-a4d2-4d8b-9148-e3be6c30e623}">
          <xlrd:rvb i="2563"/>
        </ext>
      </extLst>
    </bk>
    <bk>
      <extLst>
        <ext uri="{3e2802c4-a4d2-4d8b-9148-e3be6c30e623}">
          <xlrd:rvb i="2564"/>
        </ext>
      </extLst>
    </bk>
    <bk>
      <extLst>
        <ext uri="{3e2802c4-a4d2-4d8b-9148-e3be6c30e623}">
          <xlrd:rvb i="2565"/>
        </ext>
      </extLst>
    </bk>
    <bk>
      <extLst>
        <ext uri="{3e2802c4-a4d2-4d8b-9148-e3be6c30e623}">
          <xlrd:rvb i="2566"/>
        </ext>
      </extLst>
    </bk>
    <bk>
      <extLst>
        <ext uri="{3e2802c4-a4d2-4d8b-9148-e3be6c30e623}">
          <xlrd:rvb i="2567"/>
        </ext>
      </extLst>
    </bk>
    <bk>
      <extLst>
        <ext uri="{3e2802c4-a4d2-4d8b-9148-e3be6c30e623}">
          <xlrd:rvb i="2568"/>
        </ext>
      </extLst>
    </bk>
    <bk>
      <extLst>
        <ext uri="{3e2802c4-a4d2-4d8b-9148-e3be6c30e623}">
          <xlrd:rvb i="2569"/>
        </ext>
      </extLst>
    </bk>
    <bk>
      <extLst>
        <ext uri="{3e2802c4-a4d2-4d8b-9148-e3be6c30e623}">
          <xlrd:rvb i="2570"/>
        </ext>
      </extLst>
    </bk>
    <bk>
      <extLst>
        <ext uri="{3e2802c4-a4d2-4d8b-9148-e3be6c30e623}">
          <xlrd:rvb i="2571"/>
        </ext>
      </extLst>
    </bk>
    <bk>
      <extLst>
        <ext uri="{3e2802c4-a4d2-4d8b-9148-e3be6c30e623}">
          <xlrd:rvb i="2572"/>
        </ext>
      </extLst>
    </bk>
    <bk>
      <extLst>
        <ext uri="{3e2802c4-a4d2-4d8b-9148-e3be6c30e623}">
          <xlrd:rvb i="2573"/>
        </ext>
      </extLst>
    </bk>
    <bk>
      <extLst>
        <ext uri="{3e2802c4-a4d2-4d8b-9148-e3be6c30e623}">
          <xlrd:rvb i="2574"/>
        </ext>
      </extLst>
    </bk>
    <bk>
      <extLst>
        <ext uri="{3e2802c4-a4d2-4d8b-9148-e3be6c30e623}">
          <xlrd:rvb i="2575"/>
        </ext>
      </extLst>
    </bk>
    <bk>
      <extLst>
        <ext uri="{3e2802c4-a4d2-4d8b-9148-e3be6c30e623}">
          <xlrd:rvb i="2576"/>
        </ext>
      </extLst>
    </bk>
    <bk>
      <extLst>
        <ext uri="{3e2802c4-a4d2-4d8b-9148-e3be6c30e623}">
          <xlrd:rvb i="2577"/>
        </ext>
      </extLst>
    </bk>
    <bk>
      <extLst>
        <ext uri="{3e2802c4-a4d2-4d8b-9148-e3be6c30e623}">
          <xlrd:rvb i="2578"/>
        </ext>
      </extLst>
    </bk>
    <bk>
      <extLst>
        <ext uri="{3e2802c4-a4d2-4d8b-9148-e3be6c30e623}">
          <xlrd:rvb i="2579"/>
        </ext>
      </extLst>
    </bk>
    <bk>
      <extLst>
        <ext uri="{3e2802c4-a4d2-4d8b-9148-e3be6c30e623}">
          <xlrd:rvb i="2580"/>
        </ext>
      </extLst>
    </bk>
    <bk>
      <extLst>
        <ext uri="{3e2802c4-a4d2-4d8b-9148-e3be6c30e623}">
          <xlrd:rvb i="2581"/>
        </ext>
      </extLst>
    </bk>
    <bk>
      <extLst>
        <ext uri="{3e2802c4-a4d2-4d8b-9148-e3be6c30e623}">
          <xlrd:rvb i="2582"/>
        </ext>
      </extLst>
    </bk>
    <bk>
      <extLst>
        <ext uri="{3e2802c4-a4d2-4d8b-9148-e3be6c30e623}">
          <xlrd:rvb i="2583"/>
        </ext>
      </extLst>
    </bk>
    <bk>
      <extLst>
        <ext uri="{3e2802c4-a4d2-4d8b-9148-e3be6c30e623}">
          <xlrd:rvb i="2584"/>
        </ext>
      </extLst>
    </bk>
    <bk>
      <extLst>
        <ext uri="{3e2802c4-a4d2-4d8b-9148-e3be6c30e623}">
          <xlrd:rvb i="2585"/>
        </ext>
      </extLst>
    </bk>
    <bk>
      <extLst>
        <ext uri="{3e2802c4-a4d2-4d8b-9148-e3be6c30e623}">
          <xlrd:rvb i="2586"/>
        </ext>
      </extLst>
    </bk>
    <bk>
      <extLst>
        <ext uri="{3e2802c4-a4d2-4d8b-9148-e3be6c30e623}">
          <xlrd:rvb i="2587"/>
        </ext>
      </extLst>
    </bk>
    <bk>
      <extLst>
        <ext uri="{3e2802c4-a4d2-4d8b-9148-e3be6c30e623}">
          <xlrd:rvb i="2588"/>
        </ext>
      </extLst>
    </bk>
    <bk>
      <extLst>
        <ext uri="{3e2802c4-a4d2-4d8b-9148-e3be6c30e623}">
          <xlrd:rvb i="2589"/>
        </ext>
      </extLst>
    </bk>
    <bk>
      <extLst>
        <ext uri="{3e2802c4-a4d2-4d8b-9148-e3be6c30e623}">
          <xlrd:rvb i="2590"/>
        </ext>
      </extLst>
    </bk>
    <bk>
      <extLst>
        <ext uri="{3e2802c4-a4d2-4d8b-9148-e3be6c30e623}">
          <xlrd:rvb i="2591"/>
        </ext>
      </extLst>
    </bk>
    <bk>
      <extLst>
        <ext uri="{3e2802c4-a4d2-4d8b-9148-e3be6c30e623}">
          <xlrd:rvb i="2592"/>
        </ext>
      </extLst>
    </bk>
    <bk>
      <extLst>
        <ext uri="{3e2802c4-a4d2-4d8b-9148-e3be6c30e623}">
          <xlrd:rvb i="2593"/>
        </ext>
      </extLst>
    </bk>
    <bk>
      <extLst>
        <ext uri="{3e2802c4-a4d2-4d8b-9148-e3be6c30e623}">
          <xlrd:rvb i="2594"/>
        </ext>
      </extLst>
    </bk>
    <bk>
      <extLst>
        <ext uri="{3e2802c4-a4d2-4d8b-9148-e3be6c30e623}">
          <xlrd:rvb i="2595"/>
        </ext>
      </extLst>
    </bk>
    <bk>
      <extLst>
        <ext uri="{3e2802c4-a4d2-4d8b-9148-e3be6c30e623}">
          <xlrd:rvb i="2596"/>
        </ext>
      </extLst>
    </bk>
    <bk>
      <extLst>
        <ext uri="{3e2802c4-a4d2-4d8b-9148-e3be6c30e623}">
          <xlrd:rvb i="2597"/>
        </ext>
      </extLst>
    </bk>
    <bk>
      <extLst>
        <ext uri="{3e2802c4-a4d2-4d8b-9148-e3be6c30e623}">
          <xlrd:rvb i="2598"/>
        </ext>
      </extLst>
    </bk>
    <bk>
      <extLst>
        <ext uri="{3e2802c4-a4d2-4d8b-9148-e3be6c30e623}">
          <xlrd:rvb i="2599"/>
        </ext>
      </extLst>
    </bk>
    <bk>
      <extLst>
        <ext uri="{3e2802c4-a4d2-4d8b-9148-e3be6c30e623}">
          <xlrd:rvb i="2600"/>
        </ext>
      </extLst>
    </bk>
    <bk>
      <extLst>
        <ext uri="{3e2802c4-a4d2-4d8b-9148-e3be6c30e623}">
          <xlrd:rvb i="2601"/>
        </ext>
      </extLst>
    </bk>
    <bk>
      <extLst>
        <ext uri="{3e2802c4-a4d2-4d8b-9148-e3be6c30e623}">
          <xlrd:rvb i="2602"/>
        </ext>
      </extLst>
    </bk>
    <bk>
      <extLst>
        <ext uri="{3e2802c4-a4d2-4d8b-9148-e3be6c30e623}">
          <xlrd:rvb i="2603"/>
        </ext>
      </extLst>
    </bk>
    <bk>
      <extLst>
        <ext uri="{3e2802c4-a4d2-4d8b-9148-e3be6c30e623}">
          <xlrd:rvb i="2604"/>
        </ext>
      </extLst>
    </bk>
    <bk>
      <extLst>
        <ext uri="{3e2802c4-a4d2-4d8b-9148-e3be6c30e623}">
          <xlrd:rvb i="2605"/>
        </ext>
      </extLst>
    </bk>
    <bk>
      <extLst>
        <ext uri="{3e2802c4-a4d2-4d8b-9148-e3be6c30e623}">
          <xlrd:rvb i="2606"/>
        </ext>
      </extLst>
    </bk>
    <bk>
      <extLst>
        <ext uri="{3e2802c4-a4d2-4d8b-9148-e3be6c30e623}">
          <xlrd:rvb i="2607"/>
        </ext>
      </extLst>
    </bk>
    <bk>
      <extLst>
        <ext uri="{3e2802c4-a4d2-4d8b-9148-e3be6c30e623}">
          <xlrd:rvb i="2608"/>
        </ext>
      </extLst>
    </bk>
    <bk>
      <extLst>
        <ext uri="{3e2802c4-a4d2-4d8b-9148-e3be6c30e623}">
          <xlrd:rvb i="2609"/>
        </ext>
      </extLst>
    </bk>
    <bk>
      <extLst>
        <ext uri="{3e2802c4-a4d2-4d8b-9148-e3be6c30e623}">
          <xlrd:rvb i="2610"/>
        </ext>
      </extLst>
    </bk>
    <bk>
      <extLst>
        <ext uri="{3e2802c4-a4d2-4d8b-9148-e3be6c30e623}">
          <xlrd:rvb i="2611"/>
        </ext>
      </extLst>
    </bk>
    <bk>
      <extLst>
        <ext uri="{3e2802c4-a4d2-4d8b-9148-e3be6c30e623}">
          <xlrd:rvb i="2612"/>
        </ext>
      </extLst>
    </bk>
    <bk>
      <extLst>
        <ext uri="{3e2802c4-a4d2-4d8b-9148-e3be6c30e623}">
          <xlrd:rvb i="2613"/>
        </ext>
      </extLst>
    </bk>
    <bk>
      <extLst>
        <ext uri="{3e2802c4-a4d2-4d8b-9148-e3be6c30e623}">
          <xlrd:rvb i="2614"/>
        </ext>
      </extLst>
    </bk>
    <bk>
      <extLst>
        <ext uri="{3e2802c4-a4d2-4d8b-9148-e3be6c30e623}">
          <xlrd:rvb i="2615"/>
        </ext>
      </extLst>
    </bk>
    <bk>
      <extLst>
        <ext uri="{3e2802c4-a4d2-4d8b-9148-e3be6c30e623}">
          <xlrd:rvb i="2616"/>
        </ext>
      </extLst>
    </bk>
    <bk>
      <extLst>
        <ext uri="{3e2802c4-a4d2-4d8b-9148-e3be6c30e623}">
          <xlrd:rvb i="2617"/>
        </ext>
      </extLst>
    </bk>
    <bk>
      <extLst>
        <ext uri="{3e2802c4-a4d2-4d8b-9148-e3be6c30e623}">
          <xlrd:rvb i="2618"/>
        </ext>
      </extLst>
    </bk>
    <bk>
      <extLst>
        <ext uri="{3e2802c4-a4d2-4d8b-9148-e3be6c30e623}">
          <xlrd:rvb i="2619"/>
        </ext>
      </extLst>
    </bk>
    <bk>
      <extLst>
        <ext uri="{3e2802c4-a4d2-4d8b-9148-e3be6c30e623}">
          <xlrd:rvb i="2620"/>
        </ext>
      </extLst>
    </bk>
    <bk>
      <extLst>
        <ext uri="{3e2802c4-a4d2-4d8b-9148-e3be6c30e623}">
          <xlrd:rvb i="2621"/>
        </ext>
      </extLst>
    </bk>
    <bk>
      <extLst>
        <ext uri="{3e2802c4-a4d2-4d8b-9148-e3be6c30e623}">
          <xlrd:rvb i="2622"/>
        </ext>
      </extLst>
    </bk>
    <bk>
      <extLst>
        <ext uri="{3e2802c4-a4d2-4d8b-9148-e3be6c30e623}">
          <xlrd:rvb i="2623"/>
        </ext>
      </extLst>
    </bk>
    <bk>
      <extLst>
        <ext uri="{3e2802c4-a4d2-4d8b-9148-e3be6c30e623}">
          <xlrd:rvb i="2624"/>
        </ext>
      </extLst>
    </bk>
    <bk>
      <extLst>
        <ext uri="{3e2802c4-a4d2-4d8b-9148-e3be6c30e623}">
          <xlrd:rvb i="2625"/>
        </ext>
      </extLst>
    </bk>
    <bk>
      <extLst>
        <ext uri="{3e2802c4-a4d2-4d8b-9148-e3be6c30e623}">
          <xlrd:rvb i="2626"/>
        </ext>
      </extLst>
    </bk>
    <bk>
      <extLst>
        <ext uri="{3e2802c4-a4d2-4d8b-9148-e3be6c30e623}">
          <xlrd:rvb i="2627"/>
        </ext>
      </extLst>
    </bk>
    <bk>
      <extLst>
        <ext uri="{3e2802c4-a4d2-4d8b-9148-e3be6c30e623}">
          <xlrd:rvb i="2628"/>
        </ext>
      </extLst>
    </bk>
    <bk>
      <extLst>
        <ext uri="{3e2802c4-a4d2-4d8b-9148-e3be6c30e623}">
          <xlrd:rvb i="2629"/>
        </ext>
      </extLst>
    </bk>
    <bk>
      <extLst>
        <ext uri="{3e2802c4-a4d2-4d8b-9148-e3be6c30e623}">
          <xlrd:rvb i="2630"/>
        </ext>
      </extLst>
    </bk>
    <bk>
      <extLst>
        <ext uri="{3e2802c4-a4d2-4d8b-9148-e3be6c30e623}">
          <xlrd:rvb i="2631"/>
        </ext>
      </extLst>
    </bk>
    <bk>
      <extLst>
        <ext uri="{3e2802c4-a4d2-4d8b-9148-e3be6c30e623}">
          <xlrd:rvb i="2632"/>
        </ext>
      </extLst>
    </bk>
    <bk>
      <extLst>
        <ext uri="{3e2802c4-a4d2-4d8b-9148-e3be6c30e623}">
          <xlrd:rvb i="2633"/>
        </ext>
      </extLst>
    </bk>
    <bk>
      <extLst>
        <ext uri="{3e2802c4-a4d2-4d8b-9148-e3be6c30e623}">
          <xlrd:rvb i="2634"/>
        </ext>
      </extLst>
    </bk>
    <bk>
      <extLst>
        <ext uri="{3e2802c4-a4d2-4d8b-9148-e3be6c30e623}">
          <xlrd:rvb i="2635"/>
        </ext>
      </extLst>
    </bk>
    <bk>
      <extLst>
        <ext uri="{3e2802c4-a4d2-4d8b-9148-e3be6c30e623}">
          <xlrd:rvb i="2636"/>
        </ext>
      </extLst>
    </bk>
    <bk>
      <extLst>
        <ext uri="{3e2802c4-a4d2-4d8b-9148-e3be6c30e623}">
          <xlrd:rvb i="2637"/>
        </ext>
      </extLst>
    </bk>
    <bk>
      <extLst>
        <ext uri="{3e2802c4-a4d2-4d8b-9148-e3be6c30e623}">
          <xlrd:rvb i="2638"/>
        </ext>
      </extLst>
    </bk>
    <bk>
      <extLst>
        <ext uri="{3e2802c4-a4d2-4d8b-9148-e3be6c30e623}">
          <xlrd:rvb i="2639"/>
        </ext>
      </extLst>
    </bk>
    <bk>
      <extLst>
        <ext uri="{3e2802c4-a4d2-4d8b-9148-e3be6c30e623}">
          <xlrd:rvb i="2640"/>
        </ext>
      </extLst>
    </bk>
    <bk>
      <extLst>
        <ext uri="{3e2802c4-a4d2-4d8b-9148-e3be6c30e623}">
          <xlrd:rvb i="2641"/>
        </ext>
      </extLst>
    </bk>
    <bk>
      <extLst>
        <ext uri="{3e2802c4-a4d2-4d8b-9148-e3be6c30e623}">
          <xlrd:rvb i="2642"/>
        </ext>
      </extLst>
    </bk>
    <bk>
      <extLst>
        <ext uri="{3e2802c4-a4d2-4d8b-9148-e3be6c30e623}">
          <xlrd:rvb i="2643"/>
        </ext>
      </extLst>
    </bk>
    <bk>
      <extLst>
        <ext uri="{3e2802c4-a4d2-4d8b-9148-e3be6c30e623}">
          <xlrd:rvb i="2644"/>
        </ext>
      </extLst>
    </bk>
    <bk>
      <extLst>
        <ext uri="{3e2802c4-a4d2-4d8b-9148-e3be6c30e623}">
          <xlrd:rvb i="2645"/>
        </ext>
      </extLst>
    </bk>
    <bk>
      <extLst>
        <ext uri="{3e2802c4-a4d2-4d8b-9148-e3be6c30e623}">
          <xlrd:rvb i="2646"/>
        </ext>
      </extLst>
    </bk>
    <bk>
      <extLst>
        <ext uri="{3e2802c4-a4d2-4d8b-9148-e3be6c30e623}">
          <xlrd:rvb i="2647"/>
        </ext>
      </extLst>
    </bk>
    <bk>
      <extLst>
        <ext uri="{3e2802c4-a4d2-4d8b-9148-e3be6c30e623}">
          <xlrd:rvb i="2648"/>
        </ext>
      </extLst>
    </bk>
    <bk>
      <extLst>
        <ext uri="{3e2802c4-a4d2-4d8b-9148-e3be6c30e623}">
          <xlrd:rvb i="2649"/>
        </ext>
      </extLst>
    </bk>
    <bk>
      <extLst>
        <ext uri="{3e2802c4-a4d2-4d8b-9148-e3be6c30e623}">
          <xlrd:rvb i="2650"/>
        </ext>
      </extLst>
    </bk>
    <bk>
      <extLst>
        <ext uri="{3e2802c4-a4d2-4d8b-9148-e3be6c30e623}">
          <xlrd:rvb i="2651"/>
        </ext>
      </extLst>
    </bk>
    <bk>
      <extLst>
        <ext uri="{3e2802c4-a4d2-4d8b-9148-e3be6c30e623}">
          <xlrd:rvb i="2652"/>
        </ext>
      </extLst>
    </bk>
    <bk>
      <extLst>
        <ext uri="{3e2802c4-a4d2-4d8b-9148-e3be6c30e623}">
          <xlrd:rvb i="2653"/>
        </ext>
      </extLst>
    </bk>
    <bk>
      <extLst>
        <ext uri="{3e2802c4-a4d2-4d8b-9148-e3be6c30e623}">
          <xlrd:rvb i="2654"/>
        </ext>
      </extLst>
    </bk>
    <bk>
      <extLst>
        <ext uri="{3e2802c4-a4d2-4d8b-9148-e3be6c30e623}">
          <xlrd:rvb i="2655"/>
        </ext>
      </extLst>
    </bk>
    <bk>
      <extLst>
        <ext uri="{3e2802c4-a4d2-4d8b-9148-e3be6c30e623}">
          <xlrd:rvb i="2656"/>
        </ext>
      </extLst>
    </bk>
    <bk>
      <extLst>
        <ext uri="{3e2802c4-a4d2-4d8b-9148-e3be6c30e623}">
          <xlrd:rvb i="2657"/>
        </ext>
      </extLst>
    </bk>
    <bk>
      <extLst>
        <ext uri="{3e2802c4-a4d2-4d8b-9148-e3be6c30e623}">
          <xlrd:rvb i="2658"/>
        </ext>
      </extLst>
    </bk>
    <bk>
      <extLst>
        <ext uri="{3e2802c4-a4d2-4d8b-9148-e3be6c30e623}">
          <xlrd:rvb i="2659"/>
        </ext>
      </extLst>
    </bk>
    <bk>
      <extLst>
        <ext uri="{3e2802c4-a4d2-4d8b-9148-e3be6c30e623}">
          <xlrd:rvb i="2660"/>
        </ext>
      </extLst>
    </bk>
    <bk>
      <extLst>
        <ext uri="{3e2802c4-a4d2-4d8b-9148-e3be6c30e623}">
          <xlrd:rvb i="2661"/>
        </ext>
      </extLst>
    </bk>
    <bk>
      <extLst>
        <ext uri="{3e2802c4-a4d2-4d8b-9148-e3be6c30e623}">
          <xlrd:rvb i="2662"/>
        </ext>
      </extLst>
    </bk>
    <bk>
      <extLst>
        <ext uri="{3e2802c4-a4d2-4d8b-9148-e3be6c30e623}">
          <xlrd:rvb i="2663"/>
        </ext>
      </extLst>
    </bk>
    <bk>
      <extLst>
        <ext uri="{3e2802c4-a4d2-4d8b-9148-e3be6c30e623}">
          <xlrd:rvb i="2664"/>
        </ext>
      </extLst>
    </bk>
    <bk>
      <extLst>
        <ext uri="{3e2802c4-a4d2-4d8b-9148-e3be6c30e623}">
          <xlrd:rvb i="2665"/>
        </ext>
      </extLst>
    </bk>
    <bk>
      <extLst>
        <ext uri="{3e2802c4-a4d2-4d8b-9148-e3be6c30e623}">
          <xlrd:rvb i="2666"/>
        </ext>
      </extLst>
    </bk>
    <bk>
      <extLst>
        <ext uri="{3e2802c4-a4d2-4d8b-9148-e3be6c30e623}">
          <xlrd:rvb i="2667"/>
        </ext>
      </extLst>
    </bk>
    <bk>
      <extLst>
        <ext uri="{3e2802c4-a4d2-4d8b-9148-e3be6c30e623}">
          <xlrd:rvb i="2668"/>
        </ext>
      </extLst>
    </bk>
    <bk>
      <extLst>
        <ext uri="{3e2802c4-a4d2-4d8b-9148-e3be6c30e623}">
          <xlrd:rvb i="2669"/>
        </ext>
      </extLst>
    </bk>
    <bk>
      <extLst>
        <ext uri="{3e2802c4-a4d2-4d8b-9148-e3be6c30e623}">
          <xlrd:rvb i="2670"/>
        </ext>
      </extLst>
    </bk>
    <bk>
      <extLst>
        <ext uri="{3e2802c4-a4d2-4d8b-9148-e3be6c30e623}">
          <xlrd:rvb i="2671"/>
        </ext>
      </extLst>
    </bk>
    <bk>
      <extLst>
        <ext uri="{3e2802c4-a4d2-4d8b-9148-e3be6c30e623}">
          <xlrd:rvb i="2672"/>
        </ext>
      </extLst>
    </bk>
    <bk>
      <extLst>
        <ext uri="{3e2802c4-a4d2-4d8b-9148-e3be6c30e623}">
          <xlrd:rvb i="2673"/>
        </ext>
      </extLst>
    </bk>
    <bk>
      <extLst>
        <ext uri="{3e2802c4-a4d2-4d8b-9148-e3be6c30e623}">
          <xlrd:rvb i="2674"/>
        </ext>
      </extLst>
    </bk>
    <bk>
      <extLst>
        <ext uri="{3e2802c4-a4d2-4d8b-9148-e3be6c30e623}">
          <xlrd:rvb i="2675"/>
        </ext>
      </extLst>
    </bk>
    <bk>
      <extLst>
        <ext uri="{3e2802c4-a4d2-4d8b-9148-e3be6c30e623}">
          <xlrd:rvb i="2676"/>
        </ext>
      </extLst>
    </bk>
    <bk>
      <extLst>
        <ext uri="{3e2802c4-a4d2-4d8b-9148-e3be6c30e623}">
          <xlrd:rvb i="2677"/>
        </ext>
      </extLst>
    </bk>
    <bk>
      <extLst>
        <ext uri="{3e2802c4-a4d2-4d8b-9148-e3be6c30e623}">
          <xlrd:rvb i="2678"/>
        </ext>
      </extLst>
    </bk>
    <bk>
      <extLst>
        <ext uri="{3e2802c4-a4d2-4d8b-9148-e3be6c30e623}">
          <xlrd:rvb i="2679"/>
        </ext>
      </extLst>
    </bk>
    <bk>
      <extLst>
        <ext uri="{3e2802c4-a4d2-4d8b-9148-e3be6c30e623}">
          <xlrd:rvb i="2680"/>
        </ext>
      </extLst>
    </bk>
    <bk>
      <extLst>
        <ext uri="{3e2802c4-a4d2-4d8b-9148-e3be6c30e623}">
          <xlrd:rvb i="2681"/>
        </ext>
      </extLst>
    </bk>
    <bk>
      <extLst>
        <ext uri="{3e2802c4-a4d2-4d8b-9148-e3be6c30e623}">
          <xlrd:rvb i="2682"/>
        </ext>
      </extLst>
    </bk>
    <bk>
      <extLst>
        <ext uri="{3e2802c4-a4d2-4d8b-9148-e3be6c30e623}">
          <xlrd:rvb i="2683"/>
        </ext>
      </extLst>
    </bk>
    <bk>
      <extLst>
        <ext uri="{3e2802c4-a4d2-4d8b-9148-e3be6c30e623}">
          <xlrd:rvb i="2684"/>
        </ext>
      </extLst>
    </bk>
    <bk>
      <extLst>
        <ext uri="{3e2802c4-a4d2-4d8b-9148-e3be6c30e623}">
          <xlrd:rvb i="2685"/>
        </ext>
      </extLst>
    </bk>
    <bk>
      <extLst>
        <ext uri="{3e2802c4-a4d2-4d8b-9148-e3be6c30e623}">
          <xlrd:rvb i="2686"/>
        </ext>
      </extLst>
    </bk>
    <bk>
      <extLst>
        <ext uri="{3e2802c4-a4d2-4d8b-9148-e3be6c30e623}">
          <xlrd:rvb i="2687"/>
        </ext>
      </extLst>
    </bk>
    <bk>
      <extLst>
        <ext uri="{3e2802c4-a4d2-4d8b-9148-e3be6c30e623}">
          <xlrd:rvb i="2688"/>
        </ext>
      </extLst>
    </bk>
    <bk>
      <extLst>
        <ext uri="{3e2802c4-a4d2-4d8b-9148-e3be6c30e623}">
          <xlrd:rvb i="2689"/>
        </ext>
      </extLst>
    </bk>
    <bk>
      <extLst>
        <ext uri="{3e2802c4-a4d2-4d8b-9148-e3be6c30e623}">
          <xlrd:rvb i="2690"/>
        </ext>
      </extLst>
    </bk>
    <bk>
      <extLst>
        <ext uri="{3e2802c4-a4d2-4d8b-9148-e3be6c30e623}">
          <xlrd:rvb i="2691"/>
        </ext>
      </extLst>
    </bk>
    <bk>
      <extLst>
        <ext uri="{3e2802c4-a4d2-4d8b-9148-e3be6c30e623}">
          <xlrd:rvb i="2692"/>
        </ext>
      </extLst>
    </bk>
    <bk>
      <extLst>
        <ext uri="{3e2802c4-a4d2-4d8b-9148-e3be6c30e623}">
          <xlrd:rvb i="2693"/>
        </ext>
      </extLst>
    </bk>
    <bk>
      <extLst>
        <ext uri="{3e2802c4-a4d2-4d8b-9148-e3be6c30e623}">
          <xlrd:rvb i="2694"/>
        </ext>
      </extLst>
    </bk>
    <bk>
      <extLst>
        <ext uri="{3e2802c4-a4d2-4d8b-9148-e3be6c30e623}">
          <xlrd:rvb i="2695"/>
        </ext>
      </extLst>
    </bk>
    <bk>
      <extLst>
        <ext uri="{3e2802c4-a4d2-4d8b-9148-e3be6c30e623}">
          <xlrd:rvb i="2696"/>
        </ext>
      </extLst>
    </bk>
    <bk>
      <extLst>
        <ext uri="{3e2802c4-a4d2-4d8b-9148-e3be6c30e623}">
          <xlrd:rvb i="2697"/>
        </ext>
      </extLst>
    </bk>
    <bk>
      <extLst>
        <ext uri="{3e2802c4-a4d2-4d8b-9148-e3be6c30e623}">
          <xlrd:rvb i="2698"/>
        </ext>
      </extLst>
    </bk>
    <bk>
      <extLst>
        <ext uri="{3e2802c4-a4d2-4d8b-9148-e3be6c30e623}">
          <xlrd:rvb i="2699"/>
        </ext>
      </extLst>
    </bk>
    <bk>
      <extLst>
        <ext uri="{3e2802c4-a4d2-4d8b-9148-e3be6c30e623}">
          <xlrd:rvb i="2700"/>
        </ext>
      </extLst>
    </bk>
    <bk>
      <extLst>
        <ext uri="{3e2802c4-a4d2-4d8b-9148-e3be6c30e623}">
          <xlrd:rvb i="2701"/>
        </ext>
      </extLst>
    </bk>
    <bk>
      <extLst>
        <ext uri="{3e2802c4-a4d2-4d8b-9148-e3be6c30e623}">
          <xlrd:rvb i="2702"/>
        </ext>
      </extLst>
    </bk>
    <bk>
      <extLst>
        <ext uri="{3e2802c4-a4d2-4d8b-9148-e3be6c30e623}">
          <xlrd:rvb i="2703"/>
        </ext>
      </extLst>
    </bk>
    <bk>
      <extLst>
        <ext uri="{3e2802c4-a4d2-4d8b-9148-e3be6c30e623}">
          <xlrd:rvb i="2704"/>
        </ext>
      </extLst>
    </bk>
    <bk>
      <extLst>
        <ext uri="{3e2802c4-a4d2-4d8b-9148-e3be6c30e623}">
          <xlrd:rvb i="2705"/>
        </ext>
      </extLst>
    </bk>
    <bk>
      <extLst>
        <ext uri="{3e2802c4-a4d2-4d8b-9148-e3be6c30e623}">
          <xlrd:rvb i="2706"/>
        </ext>
      </extLst>
    </bk>
    <bk>
      <extLst>
        <ext uri="{3e2802c4-a4d2-4d8b-9148-e3be6c30e623}">
          <xlrd:rvb i="2707"/>
        </ext>
      </extLst>
    </bk>
    <bk>
      <extLst>
        <ext uri="{3e2802c4-a4d2-4d8b-9148-e3be6c30e623}">
          <xlrd:rvb i="2708"/>
        </ext>
      </extLst>
    </bk>
    <bk>
      <extLst>
        <ext uri="{3e2802c4-a4d2-4d8b-9148-e3be6c30e623}">
          <xlrd:rvb i="2709"/>
        </ext>
      </extLst>
    </bk>
    <bk>
      <extLst>
        <ext uri="{3e2802c4-a4d2-4d8b-9148-e3be6c30e623}">
          <xlrd:rvb i="2710"/>
        </ext>
      </extLst>
    </bk>
    <bk>
      <extLst>
        <ext uri="{3e2802c4-a4d2-4d8b-9148-e3be6c30e623}">
          <xlrd:rvb i="2711"/>
        </ext>
      </extLst>
    </bk>
    <bk>
      <extLst>
        <ext uri="{3e2802c4-a4d2-4d8b-9148-e3be6c30e623}">
          <xlrd:rvb i="2712"/>
        </ext>
      </extLst>
    </bk>
    <bk>
      <extLst>
        <ext uri="{3e2802c4-a4d2-4d8b-9148-e3be6c30e623}">
          <xlrd:rvb i="2713"/>
        </ext>
      </extLst>
    </bk>
    <bk>
      <extLst>
        <ext uri="{3e2802c4-a4d2-4d8b-9148-e3be6c30e623}">
          <xlrd:rvb i="2714"/>
        </ext>
      </extLst>
    </bk>
    <bk>
      <extLst>
        <ext uri="{3e2802c4-a4d2-4d8b-9148-e3be6c30e623}">
          <xlrd:rvb i="2715"/>
        </ext>
      </extLst>
    </bk>
    <bk>
      <extLst>
        <ext uri="{3e2802c4-a4d2-4d8b-9148-e3be6c30e623}">
          <xlrd:rvb i="2716"/>
        </ext>
      </extLst>
    </bk>
    <bk>
      <extLst>
        <ext uri="{3e2802c4-a4d2-4d8b-9148-e3be6c30e623}">
          <xlrd:rvb i="2717"/>
        </ext>
      </extLst>
    </bk>
    <bk>
      <extLst>
        <ext uri="{3e2802c4-a4d2-4d8b-9148-e3be6c30e623}">
          <xlrd:rvb i="2718"/>
        </ext>
      </extLst>
    </bk>
    <bk>
      <extLst>
        <ext uri="{3e2802c4-a4d2-4d8b-9148-e3be6c30e623}">
          <xlrd:rvb i="2719"/>
        </ext>
      </extLst>
    </bk>
    <bk>
      <extLst>
        <ext uri="{3e2802c4-a4d2-4d8b-9148-e3be6c30e623}">
          <xlrd:rvb i="2720"/>
        </ext>
      </extLst>
    </bk>
    <bk>
      <extLst>
        <ext uri="{3e2802c4-a4d2-4d8b-9148-e3be6c30e623}">
          <xlrd:rvb i="2721"/>
        </ext>
      </extLst>
    </bk>
    <bk>
      <extLst>
        <ext uri="{3e2802c4-a4d2-4d8b-9148-e3be6c30e623}">
          <xlrd:rvb i="2722"/>
        </ext>
      </extLst>
    </bk>
    <bk>
      <extLst>
        <ext uri="{3e2802c4-a4d2-4d8b-9148-e3be6c30e623}">
          <xlrd:rvb i="2723"/>
        </ext>
      </extLst>
    </bk>
    <bk>
      <extLst>
        <ext uri="{3e2802c4-a4d2-4d8b-9148-e3be6c30e623}">
          <xlrd:rvb i="2724"/>
        </ext>
      </extLst>
    </bk>
    <bk>
      <extLst>
        <ext uri="{3e2802c4-a4d2-4d8b-9148-e3be6c30e623}">
          <xlrd:rvb i="2725"/>
        </ext>
      </extLst>
    </bk>
    <bk>
      <extLst>
        <ext uri="{3e2802c4-a4d2-4d8b-9148-e3be6c30e623}">
          <xlrd:rvb i="2726"/>
        </ext>
      </extLst>
    </bk>
    <bk>
      <extLst>
        <ext uri="{3e2802c4-a4d2-4d8b-9148-e3be6c30e623}">
          <xlrd:rvb i="2727"/>
        </ext>
      </extLst>
    </bk>
    <bk>
      <extLst>
        <ext uri="{3e2802c4-a4d2-4d8b-9148-e3be6c30e623}">
          <xlrd:rvb i="2728"/>
        </ext>
      </extLst>
    </bk>
    <bk>
      <extLst>
        <ext uri="{3e2802c4-a4d2-4d8b-9148-e3be6c30e623}">
          <xlrd:rvb i="2729"/>
        </ext>
      </extLst>
    </bk>
    <bk>
      <extLst>
        <ext uri="{3e2802c4-a4d2-4d8b-9148-e3be6c30e623}">
          <xlrd:rvb i="2730"/>
        </ext>
      </extLst>
    </bk>
    <bk>
      <extLst>
        <ext uri="{3e2802c4-a4d2-4d8b-9148-e3be6c30e623}">
          <xlrd:rvb i="2731"/>
        </ext>
      </extLst>
    </bk>
    <bk>
      <extLst>
        <ext uri="{3e2802c4-a4d2-4d8b-9148-e3be6c30e623}">
          <xlrd:rvb i="2732"/>
        </ext>
      </extLst>
    </bk>
    <bk>
      <extLst>
        <ext uri="{3e2802c4-a4d2-4d8b-9148-e3be6c30e623}">
          <xlrd:rvb i="2733"/>
        </ext>
      </extLst>
    </bk>
    <bk>
      <extLst>
        <ext uri="{3e2802c4-a4d2-4d8b-9148-e3be6c30e623}">
          <xlrd:rvb i="2734"/>
        </ext>
      </extLst>
    </bk>
    <bk>
      <extLst>
        <ext uri="{3e2802c4-a4d2-4d8b-9148-e3be6c30e623}">
          <xlrd:rvb i="2735"/>
        </ext>
      </extLst>
    </bk>
    <bk>
      <extLst>
        <ext uri="{3e2802c4-a4d2-4d8b-9148-e3be6c30e623}">
          <xlrd:rvb i="2736"/>
        </ext>
      </extLst>
    </bk>
    <bk>
      <extLst>
        <ext uri="{3e2802c4-a4d2-4d8b-9148-e3be6c30e623}">
          <xlrd:rvb i="2737"/>
        </ext>
      </extLst>
    </bk>
    <bk>
      <extLst>
        <ext uri="{3e2802c4-a4d2-4d8b-9148-e3be6c30e623}">
          <xlrd:rvb i="2738"/>
        </ext>
      </extLst>
    </bk>
    <bk>
      <extLst>
        <ext uri="{3e2802c4-a4d2-4d8b-9148-e3be6c30e623}">
          <xlrd:rvb i="2739"/>
        </ext>
      </extLst>
    </bk>
    <bk>
      <extLst>
        <ext uri="{3e2802c4-a4d2-4d8b-9148-e3be6c30e623}">
          <xlrd:rvb i="2740"/>
        </ext>
      </extLst>
    </bk>
    <bk>
      <extLst>
        <ext uri="{3e2802c4-a4d2-4d8b-9148-e3be6c30e623}">
          <xlrd:rvb i="2741"/>
        </ext>
      </extLst>
    </bk>
    <bk>
      <extLst>
        <ext uri="{3e2802c4-a4d2-4d8b-9148-e3be6c30e623}">
          <xlrd:rvb i="2742"/>
        </ext>
      </extLst>
    </bk>
    <bk>
      <extLst>
        <ext uri="{3e2802c4-a4d2-4d8b-9148-e3be6c30e623}">
          <xlrd:rvb i="2743"/>
        </ext>
      </extLst>
    </bk>
    <bk>
      <extLst>
        <ext uri="{3e2802c4-a4d2-4d8b-9148-e3be6c30e623}">
          <xlrd:rvb i="2744"/>
        </ext>
      </extLst>
    </bk>
    <bk>
      <extLst>
        <ext uri="{3e2802c4-a4d2-4d8b-9148-e3be6c30e623}">
          <xlrd:rvb i="2745"/>
        </ext>
      </extLst>
    </bk>
    <bk>
      <extLst>
        <ext uri="{3e2802c4-a4d2-4d8b-9148-e3be6c30e623}">
          <xlrd:rvb i="2746"/>
        </ext>
      </extLst>
    </bk>
    <bk>
      <extLst>
        <ext uri="{3e2802c4-a4d2-4d8b-9148-e3be6c30e623}">
          <xlrd:rvb i="2747"/>
        </ext>
      </extLst>
    </bk>
    <bk>
      <extLst>
        <ext uri="{3e2802c4-a4d2-4d8b-9148-e3be6c30e623}">
          <xlrd:rvb i="2748"/>
        </ext>
      </extLst>
    </bk>
    <bk>
      <extLst>
        <ext uri="{3e2802c4-a4d2-4d8b-9148-e3be6c30e623}">
          <xlrd:rvb i="2749"/>
        </ext>
      </extLst>
    </bk>
    <bk>
      <extLst>
        <ext uri="{3e2802c4-a4d2-4d8b-9148-e3be6c30e623}">
          <xlrd:rvb i="2750"/>
        </ext>
      </extLst>
    </bk>
    <bk>
      <extLst>
        <ext uri="{3e2802c4-a4d2-4d8b-9148-e3be6c30e623}">
          <xlrd:rvb i="2751"/>
        </ext>
      </extLst>
    </bk>
    <bk>
      <extLst>
        <ext uri="{3e2802c4-a4d2-4d8b-9148-e3be6c30e623}">
          <xlrd:rvb i="2752"/>
        </ext>
      </extLst>
    </bk>
    <bk>
      <extLst>
        <ext uri="{3e2802c4-a4d2-4d8b-9148-e3be6c30e623}">
          <xlrd:rvb i="2753"/>
        </ext>
      </extLst>
    </bk>
    <bk>
      <extLst>
        <ext uri="{3e2802c4-a4d2-4d8b-9148-e3be6c30e623}">
          <xlrd:rvb i="2754"/>
        </ext>
      </extLst>
    </bk>
    <bk>
      <extLst>
        <ext uri="{3e2802c4-a4d2-4d8b-9148-e3be6c30e623}">
          <xlrd:rvb i="2755"/>
        </ext>
      </extLst>
    </bk>
    <bk>
      <extLst>
        <ext uri="{3e2802c4-a4d2-4d8b-9148-e3be6c30e623}">
          <xlrd:rvb i="2756"/>
        </ext>
      </extLst>
    </bk>
    <bk>
      <extLst>
        <ext uri="{3e2802c4-a4d2-4d8b-9148-e3be6c30e623}">
          <xlrd:rvb i="2757"/>
        </ext>
      </extLst>
    </bk>
    <bk>
      <extLst>
        <ext uri="{3e2802c4-a4d2-4d8b-9148-e3be6c30e623}">
          <xlrd:rvb i="2758"/>
        </ext>
      </extLst>
    </bk>
    <bk>
      <extLst>
        <ext uri="{3e2802c4-a4d2-4d8b-9148-e3be6c30e623}">
          <xlrd:rvb i="2759"/>
        </ext>
      </extLst>
    </bk>
    <bk>
      <extLst>
        <ext uri="{3e2802c4-a4d2-4d8b-9148-e3be6c30e623}">
          <xlrd:rvb i="2760"/>
        </ext>
      </extLst>
    </bk>
    <bk>
      <extLst>
        <ext uri="{3e2802c4-a4d2-4d8b-9148-e3be6c30e623}">
          <xlrd:rvb i="2761"/>
        </ext>
      </extLst>
    </bk>
    <bk>
      <extLst>
        <ext uri="{3e2802c4-a4d2-4d8b-9148-e3be6c30e623}">
          <xlrd:rvb i="2762"/>
        </ext>
      </extLst>
    </bk>
    <bk>
      <extLst>
        <ext uri="{3e2802c4-a4d2-4d8b-9148-e3be6c30e623}">
          <xlrd:rvb i="2763"/>
        </ext>
      </extLst>
    </bk>
    <bk>
      <extLst>
        <ext uri="{3e2802c4-a4d2-4d8b-9148-e3be6c30e623}">
          <xlrd:rvb i="2764"/>
        </ext>
      </extLst>
    </bk>
    <bk>
      <extLst>
        <ext uri="{3e2802c4-a4d2-4d8b-9148-e3be6c30e623}">
          <xlrd:rvb i="2765"/>
        </ext>
      </extLst>
    </bk>
    <bk>
      <extLst>
        <ext uri="{3e2802c4-a4d2-4d8b-9148-e3be6c30e623}">
          <xlrd:rvb i="2766"/>
        </ext>
      </extLst>
    </bk>
    <bk>
      <extLst>
        <ext uri="{3e2802c4-a4d2-4d8b-9148-e3be6c30e623}">
          <xlrd:rvb i="2767"/>
        </ext>
      </extLst>
    </bk>
    <bk>
      <extLst>
        <ext uri="{3e2802c4-a4d2-4d8b-9148-e3be6c30e623}">
          <xlrd:rvb i="2768"/>
        </ext>
      </extLst>
    </bk>
    <bk>
      <extLst>
        <ext uri="{3e2802c4-a4d2-4d8b-9148-e3be6c30e623}">
          <xlrd:rvb i="2769"/>
        </ext>
      </extLst>
    </bk>
    <bk>
      <extLst>
        <ext uri="{3e2802c4-a4d2-4d8b-9148-e3be6c30e623}">
          <xlrd:rvb i="2770"/>
        </ext>
      </extLst>
    </bk>
    <bk>
      <extLst>
        <ext uri="{3e2802c4-a4d2-4d8b-9148-e3be6c30e623}">
          <xlrd:rvb i="2771"/>
        </ext>
      </extLst>
    </bk>
    <bk>
      <extLst>
        <ext uri="{3e2802c4-a4d2-4d8b-9148-e3be6c30e623}">
          <xlrd:rvb i="2772"/>
        </ext>
      </extLst>
    </bk>
    <bk>
      <extLst>
        <ext uri="{3e2802c4-a4d2-4d8b-9148-e3be6c30e623}">
          <xlrd:rvb i="2773"/>
        </ext>
      </extLst>
    </bk>
    <bk>
      <extLst>
        <ext uri="{3e2802c4-a4d2-4d8b-9148-e3be6c30e623}">
          <xlrd:rvb i="2774"/>
        </ext>
      </extLst>
    </bk>
    <bk>
      <extLst>
        <ext uri="{3e2802c4-a4d2-4d8b-9148-e3be6c30e623}">
          <xlrd:rvb i="2775"/>
        </ext>
      </extLst>
    </bk>
    <bk>
      <extLst>
        <ext uri="{3e2802c4-a4d2-4d8b-9148-e3be6c30e623}">
          <xlrd:rvb i="2776"/>
        </ext>
      </extLst>
    </bk>
    <bk>
      <extLst>
        <ext uri="{3e2802c4-a4d2-4d8b-9148-e3be6c30e623}">
          <xlrd:rvb i="2777"/>
        </ext>
      </extLst>
    </bk>
    <bk>
      <extLst>
        <ext uri="{3e2802c4-a4d2-4d8b-9148-e3be6c30e623}">
          <xlrd:rvb i="2778"/>
        </ext>
      </extLst>
    </bk>
    <bk>
      <extLst>
        <ext uri="{3e2802c4-a4d2-4d8b-9148-e3be6c30e623}">
          <xlrd:rvb i="2779"/>
        </ext>
      </extLst>
    </bk>
    <bk>
      <extLst>
        <ext uri="{3e2802c4-a4d2-4d8b-9148-e3be6c30e623}">
          <xlrd:rvb i="2780"/>
        </ext>
      </extLst>
    </bk>
    <bk>
      <extLst>
        <ext uri="{3e2802c4-a4d2-4d8b-9148-e3be6c30e623}">
          <xlrd:rvb i="2781"/>
        </ext>
      </extLst>
    </bk>
    <bk>
      <extLst>
        <ext uri="{3e2802c4-a4d2-4d8b-9148-e3be6c30e623}">
          <xlrd:rvb i="2782"/>
        </ext>
      </extLst>
    </bk>
    <bk>
      <extLst>
        <ext uri="{3e2802c4-a4d2-4d8b-9148-e3be6c30e623}">
          <xlrd:rvb i="2783"/>
        </ext>
      </extLst>
    </bk>
    <bk>
      <extLst>
        <ext uri="{3e2802c4-a4d2-4d8b-9148-e3be6c30e623}">
          <xlrd:rvb i="2784"/>
        </ext>
      </extLst>
    </bk>
    <bk>
      <extLst>
        <ext uri="{3e2802c4-a4d2-4d8b-9148-e3be6c30e623}">
          <xlrd:rvb i="2785"/>
        </ext>
      </extLst>
    </bk>
    <bk>
      <extLst>
        <ext uri="{3e2802c4-a4d2-4d8b-9148-e3be6c30e623}">
          <xlrd:rvb i="2786"/>
        </ext>
      </extLst>
    </bk>
    <bk>
      <extLst>
        <ext uri="{3e2802c4-a4d2-4d8b-9148-e3be6c30e623}">
          <xlrd:rvb i="2787"/>
        </ext>
      </extLst>
    </bk>
    <bk>
      <extLst>
        <ext uri="{3e2802c4-a4d2-4d8b-9148-e3be6c30e623}">
          <xlrd:rvb i="2788"/>
        </ext>
      </extLst>
    </bk>
    <bk>
      <extLst>
        <ext uri="{3e2802c4-a4d2-4d8b-9148-e3be6c30e623}">
          <xlrd:rvb i="2789"/>
        </ext>
      </extLst>
    </bk>
    <bk>
      <extLst>
        <ext uri="{3e2802c4-a4d2-4d8b-9148-e3be6c30e623}">
          <xlrd:rvb i="2790"/>
        </ext>
      </extLst>
    </bk>
    <bk>
      <extLst>
        <ext uri="{3e2802c4-a4d2-4d8b-9148-e3be6c30e623}">
          <xlrd:rvb i="2791"/>
        </ext>
      </extLst>
    </bk>
    <bk>
      <extLst>
        <ext uri="{3e2802c4-a4d2-4d8b-9148-e3be6c30e623}">
          <xlrd:rvb i="2792"/>
        </ext>
      </extLst>
    </bk>
    <bk>
      <extLst>
        <ext uri="{3e2802c4-a4d2-4d8b-9148-e3be6c30e623}">
          <xlrd:rvb i="2793"/>
        </ext>
      </extLst>
    </bk>
    <bk>
      <extLst>
        <ext uri="{3e2802c4-a4d2-4d8b-9148-e3be6c30e623}">
          <xlrd:rvb i="2794"/>
        </ext>
      </extLst>
    </bk>
    <bk>
      <extLst>
        <ext uri="{3e2802c4-a4d2-4d8b-9148-e3be6c30e623}">
          <xlrd:rvb i="2795"/>
        </ext>
      </extLst>
    </bk>
    <bk>
      <extLst>
        <ext uri="{3e2802c4-a4d2-4d8b-9148-e3be6c30e623}">
          <xlrd:rvb i="2796"/>
        </ext>
      </extLst>
    </bk>
    <bk>
      <extLst>
        <ext uri="{3e2802c4-a4d2-4d8b-9148-e3be6c30e623}">
          <xlrd:rvb i="2797"/>
        </ext>
      </extLst>
    </bk>
    <bk>
      <extLst>
        <ext uri="{3e2802c4-a4d2-4d8b-9148-e3be6c30e623}">
          <xlrd:rvb i="2798"/>
        </ext>
      </extLst>
    </bk>
    <bk>
      <extLst>
        <ext uri="{3e2802c4-a4d2-4d8b-9148-e3be6c30e623}">
          <xlrd:rvb i="2799"/>
        </ext>
      </extLst>
    </bk>
    <bk>
      <extLst>
        <ext uri="{3e2802c4-a4d2-4d8b-9148-e3be6c30e623}">
          <xlrd:rvb i="2800"/>
        </ext>
      </extLst>
    </bk>
    <bk>
      <extLst>
        <ext uri="{3e2802c4-a4d2-4d8b-9148-e3be6c30e623}">
          <xlrd:rvb i="2801"/>
        </ext>
      </extLst>
    </bk>
    <bk>
      <extLst>
        <ext uri="{3e2802c4-a4d2-4d8b-9148-e3be6c30e623}">
          <xlrd:rvb i="2802"/>
        </ext>
      </extLst>
    </bk>
    <bk>
      <extLst>
        <ext uri="{3e2802c4-a4d2-4d8b-9148-e3be6c30e623}">
          <xlrd:rvb i="2803"/>
        </ext>
      </extLst>
    </bk>
    <bk>
      <extLst>
        <ext uri="{3e2802c4-a4d2-4d8b-9148-e3be6c30e623}">
          <xlrd:rvb i="2804"/>
        </ext>
      </extLst>
    </bk>
    <bk>
      <extLst>
        <ext uri="{3e2802c4-a4d2-4d8b-9148-e3be6c30e623}">
          <xlrd:rvb i="2805"/>
        </ext>
      </extLst>
    </bk>
    <bk>
      <extLst>
        <ext uri="{3e2802c4-a4d2-4d8b-9148-e3be6c30e623}">
          <xlrd:rvb i="2806"/>
        </ext>
      </extLst>
    </bk>
    <bk>
      <extLst>
        <ext uri="{3e2802c4-a4d2-4d8b-9148-e3be6c30e623}">
          <xlrd:rvb i="2807"/>
        </ext>
      </extLst>
    </bk>
    <bk>
      <extLst>
        <ext uri="{3e2802c4-a4d2-4d8b-9148-e3be6c30e623}">
          <xlrd:rvb i="2808"/>
        </ext>
      </extLst>
    </bk>
    <bk>
      <extLst>
        <ext uri="{3e2802c4-a4d2-4d8b-9148-e3be6c30e623}">
          <xlrd:rvb i="2809"/>
        </ext>
      </extLst>
    </bk>
    <bk>
      <extLst>
        <ext uri="{3e2802c4-a4d2-4d8b-9148-e3be6c30e623}">
          <xlrd:rvb i="2810"/>
        </ext>
      </extLst>
    </bk>
    <bk>
      <extLst>
        <ext uri="{3e2802c4-a4d2-4d8b-9148-e3be6c30e623}">
          <xlrd:rvb i="2811"/>
        </ext>
      </extLst>
    </bk>
    <bk>
      <extLst>
        <ext uri="{3e2802c4-a4d2-4d8b-9148-e3be6c30e623}">
          <xlrd:rvb i="2812"/>
        </ext>
      </extLst>
    </bk>
    <bk>
      <extLst>
        <ext uri="{3e2802c4-a4d2-4d8b-9148-e3be6c30e623}">
          <xlrd:rvb i="2813"/>
        </ext>
      </extLst>
    </bk>
    <bk>
      <extLst>
        <ext uri="{3e2802c4-a4d2-4d8b-9148-e3be6c30e623}">
          <xlrd:rvb i="2814"/>
        </ext>
      </extLst>
    </bk>
    <bk>
      <extLst>
        <ext uri="{3e2802c4-a4d2-4d8b-9148-e3be6c30e623}">
          <xlrd:rvb i="2815"/>
        </ext>
      </extLst>
    </bk>
    <bk>
      <extLst>
        <ext uri="{3e2802c4-a4d2-4d8b-9148-e3be6c30e623}">
          <xlrd:rvb i="2816"/>
        </ext>
      </extLst>
    </bk>
    <bk>
      <extLst>
        <ext uri="{3e2802c4-a4d2-4d8b-9148-e3be6c30e623}">
          <xlrd:rvb i="2817"/>
        </ext>
      </extLst>
    </bk>
    <bk>
      <extLst>
        <ext uri="{3e2802c4-a4d2-4d8b-9148-e3be6c30e623}">
          <xlrd:rvb i="2818"/>
        </ext>
      </extLst>
    </bk>
    <bk>
      <extLst>
        <ext uri="{3e2802c4-a4d2-4d8b-9148-e3be6c30e623}">
          <xlrd:rvb i="2819"/>
        </ext>
      </extLst>
    </bk>
    <bk>
      <extLst>
        <ext uri="{3e2802c4-a4d2-4d8b-9148-e3be6c30e623}">
          <xlrd:rvb i="2820"/>
        </ext>
      </extLst>
    </bk>
    <bk>
      <extLst>
        <ext uri="{3e2802c4-a4d2-4d8b-9148-e3be6c30e623}">
          <xlrd:rvb i="2821"/>
        </ext>
      </extLst>
    </bk>
    <bk>
      <extLst>
        <ext uri="{3e2802c4-a4d2-4d8b-9148-e3be6c30e623}">
          <xlrd:rvb i="2822"/>
        </ext>
      </extLst>
    </bk>
    <bk>
      <extLst>
        <ext uri="{3e2802c4-a4d2-4d8b-9148-e3be6c30e623}">
          <xlrd:rvb i="2823"/>
        </ext>
      </extLst>
    </bk>
    <bk>
      <extLst>
        <ext uri="{3e2802c4-a4d2-4d8b-9148-e3be6c30e623}">
          <xlrd:rvb i="2824"/>
        </ext>
      </extLst>
    </bk>
    <bk>
      <extLst>
        <ext uri="{3e2802c4-a4d2-4d8b-9148-e3be6c30e623}">
          <xlrd:rvb i="2825"/>
        </ext>
      </extLst>
    </bk>
    <bk>
      <extLst>
        <ext uri="{3e2802c4-a4d2-4d8b-9148-e3be6c30e623}">
          <xlrd:rvb i="2826"/>
        </ext>
      </extLst>
    </bk>
    <bk>
      <extLst>
        <ext uri="{3e2802c4-a4d2-4d8b-9148-e3be6c30e623}">
          <xlrd:rvb i="2827"/>
        </ext>
      </extLst>
    </bk>
    <bk>
      <extLst>
        <ext uri="{3e2802c4-a4d2-4d8b-9148-e3be6c30e623}">
          <xlrd:rvb i="2828"/>
        </ext>
      </extLst>
    </bk>
    <bk>
      <extLst>
        <ext uri="{3e2802c4-a4d2-4d8b-9148-e3be6c30e623}">
          <xlrd:rvb i="2829"/>
        </ext>
      </extLst>
    </bk>
    <bk>
      <extLst>
        <ext uri="{3e2802c4-a4d2-4d8b-9148-e3be6c30e623}">
          <xlrd:rvb i="2830"/>
        </ext>
      </extLst>
    </bk>
    <bk>
      <extLst>
        <ext uri="{3e2802c4-a4d2-4d8b-9148-e3be6c30e623}">
          <xlrd:rvb i="2831"/>
        </ext>
      </extLst>
    </bk>
    <bk>
      <extLst>
        <ext uri="{3e2802c4-a4d2-4d8b-9148-e3be6c30e623}">
          <xlrd:rvb i="2832"/>
        </ext>
      </extLst>
    </bk>
    <bk>
      <extLst>
        <ext uri="{3e2802c4-a4d2-4d8b-9148-e3be6c30e623}">
          <xlrd:rvb i="2833"/>
        </ext>
      </extLst>
    </bk>
    <bk>
      <extLst>
        <ext uri="{3e2802c4-a4d2-4d8b-9148-e3be6c30e623}">
          <xlrd:rvb i="2834"/>
        </ext>
      </extLst>
    </bk>
    <bk>
      <extLst>
        <ext uri="{3e2802c4-a4d2-4d8b-9148-e3be6c30e623}">
          <xlrd:rvb i="2835"/>
        </ext>
      </extLst>
    </bk>
    <bk>
      <extLst>
        <ext uri="{3e2802c4-a4d2-4d8b-9148-e3be6c30e623}">
          <xlrd:rvb i="2836"/>
        </ext>
      </extLst>
    </bk>
    <bk>
      <extLst>
        <ext uri="{3e2802c4-a4d2-4d8b-9148-e3be6c30e623}">
          <xlrd:rvb i="2837"/>
        </ext>
      </extLst>
    </bk>
    <bk>
      <extLst>
        <ext uri="{3e2802c4-a4d2-4d8b-9148-e3be6c30e623}">
          <xlrd:rvb i="2838"/>
        </ext>
      </extLst>
    </bk>
    <bk>
      <extLst>
        <ext uri="{3e2802c4-a4d2-4d8b-9148-e3be6c30e623}">
          <xlrd:rvb i="2839"/>
        </ext>
      </extLst>
    </bk>
    <bk>
      <extLst>
        <ext uri="{3e2802c4-a4d2-4d8b-9148-e3be6c30e623}">
          <xlrd:rvb i="2840"/>
        </ext>
      </extLst>
    </bk>
    <bk>
      <extLst>
        <ext uri="{3e2802c4-a4d2-4d8b-9148-e3be6c30e623}">
          <xlrd:rvb i="2841"/>
        </ext>
      </extLst>
    </bk>
    <bk>
      <extLst>
        <ext uri="{3e2802c4-a4d2-4d8b-9148-e3be6c30e623}">
          <xlrd:rvb i="2842"/>
        </ext>
      </extLst>
    </bk>
    <bk>
      <extLst>
        <ext uri="{3e2802c4-a4d2-4d8b-9148-e3be6c30e623}">
          <xlrd:rvb i="2843"/>
        </ext>
      </extLst>
    </bk>
    <bk>
      <extLst>
        <ext uri="{3e2802c4-a4d2-4d8b-9148-e3be6c30e623}">
          <xlrd:rvb i="2844"/>
        </ext>
      </extLst>
    </bk>
    <bk>
      <extLst>
        <ext uri="{3e2802c4-a4d2-4d8b-9148-e3be6c30e623}">
          <xlrd:rvb i="2845"/>
        </ext>
      </extLst>
    </bk>
    <bk>
      <extLst>
        <ext uri="{3e2802c4-a4d2-4d8b-9148-e3be6c30e623}">
          <xlrd:rvb i="2846"/>
        </ext>
      </extLst>
    </bk>
    <bk>
      <extLst>
        <ext uri="{3e2802c4-a4d2-4d8b-9148-e3be6c30e623}">
          <xlrd:rvb i="2847"/>
        </ext>
      </extLst>
    </bk>
    <bk>
      <extLst>
        <ext uri="{3e2802c4-a4d2-4d8b-9148-e3be6c30e623}">
          <xlrd:rvb i="2848"/>
        </ext>
      </extLst>
    </bk>
    <bk>
      <extLst>
        <ext uri="{3e2802c4-a4d2-4d8b-9148-e3be6c30e623}">
          <xlrd:rvb i="2849"/>
        </ext>
      </extLst>
    </bk>
    <bk>
      <extLst>
        <ext uri="{3e2802c4-a4d2-4d8b-9148-e3be6c30e623}">
          <xlrd:rvb i="2850"/>
        </ext>
      </extLst>
    </bk>
    <bk>
      <extLst>
        <ext uri="{3e2802c4-a4d2-4d8b-9148-e3be6c30e623}">
          <xlrd:rvb i="2851"/>
        </ext>
      </extLst>
    </bk>
    <bk>
      <extLst>
        <ext uri="{3e2802c4-a4d2-4d8b-9148-e3be6c30e623}">
          <xlrd:rvb i="2852"/>
        </ext>
      </extLst>
    </bk>
    <bk>
      <extLst>
        <ext uri="{3e2802c4-a4d2-4d8b-9148-e3be6c30e623}">
          <xlrd:rvb i="2853"/>
        </ext>
      </extLst>
    </bk>
    <bk>
      <extLst>
        <ext uri="{3e2802c4-a4d2-4d8b-9148-e3be6c30e623}">
          <xlrd:rvb i="2854"/>
        </ext>
      </extLst>
    </bk>
    <bk>
      <extLst>
        <ext uri="{3e2802c4-a4d2-4d8b-9148-e3be6c30e623}">
          <xlrd:rvb i="2855"/>
        </ext>
      </extLst>
    </bk>
    <bk>
      <extLst>
        <ext uri="{3e2802c4-a4d2-4d8b-9148-e3be6c30e623}">
          <xlrd:rvb i="2856"/>
        </ext>
      </extLst>
    </bk>
    <bk>
      <extLst>
        <ext uri="{3e2802c4-a4d2-4d8b-9148-e3be6c30e623}">
          <xlrd:rvb i="2857"/>
        </ext>
      </extLst>
    </bk>
    <bk>
      <extLst>
        <ext uri="{3e2802c4-a4d2-4d8b-9148-e3be6c30e623}">
          <xlrd:rvb i="2858"/>
        </ext>
      </extLst>
    </bk>
    <bk>
      <extLst>
        <ext uri="{3e2802c4-a4d2-4d8b-9148-e3be6c30e623}">
          <xlrd:rvb i="2859"/>
        </ext>
      </extLst>
    </bk>
    <bk>
      <extLst>
        <ext uri="{3e2802c4-a4d2-4d8b-9148-e3be6c30e623}">
          <xlrd:rvb i="2860"/>
        </ext>
      </extLst>
    </bk>
    <bk>
      <extLst>
        <ext uri="{3e2802c4-a4d2-4d8b-9148-e3be6c30e623}">
          <xlrd:rvb i="2861"/>
        </ext>
      </extLst>
    </bk>
    <bk>
      <extLst>
        <ext uri="{3e2802c4-a4d2-4d8b-9148-e3be6c30e623}">
          <xlrd:rvb i="2862"/>
        </ext>
      </extLst>
    </bk>
    <bk>
      <extLst>
        <ext uri="{3e2802c4-a4d2-4d8b-9148-e3be6c30e623}">
          <xlrd:rvb i="2863"/>
        </ext>
      </extLst>
    </bk>
    <bk>
      <extLst>
        <ext uri="{3e2802c4-a4d2-4d8b-9148-e3be6c30e623}">
          <xlrd:rvb i="2864"/>
        </ext>
      </extLst>
    </bk>
    <bk>
      <extLst>
        <ext uri="{3e2802c4-a4d2-4d8b-9148-e3be6c30e623}">
          <xlrd:rvb i="2865"/>
        </ext>
      </extLst>
    </bk>
    <bk>
      <extLst>
        <ext uri="{3e2802c4-a4d2-4d8b-9148-e3be6c30e623}">
          <xlrd:rvb i="2866"/>
        </ext>
      </extLst>
    </bk>
    <bk>
      <extLst>
        <ext uri="{3e2802c4-a4d2-4d8b-9148-e3be6c30e623}">
          <xlrd:rvb i="2867"/>
        </ext>
      </extLst>
    </bk>
    <bk>
      <extLst>
        <ext uri="{3e2802c4-a4d2-4d8b-9148-e3be6c30e623}">
          <xlrd:rvb i="2868"/>
        </ext>
      </extLst>
    </bk>
    <bk>
      <extLst>
        <ext uri="{3e2802c4-a4d2-4d8b-9148-e3be6c30e623}">
          <xlrd:rvb i="2869"/>
        </ext>
      </extLst>
    </bk>
    <bk>
      <extLst>
        <ext uri="{3e2802c4-a4d2-4d8b-9148-e3be6c30e623}">
          <xlrd:rvb i="2870"/>
        </ext>
      </extLst>
    </bk>
    <bk>
      <extLst>
        <ext uri="{3e2802c4-a4d2-4d8b-9148-e3be6c30e623}">
          <xlrd:rvb i="2871"/>
        </ext>
      </extLst>
    </bk>
    <bk>
      <extLst>
        <ext uri="{3e2802c4-a4d2-4d8b-9148-e3be6c30e623}">
          <xlrd:rvb i="2872"/>
        </ext>
      </extLst>
    </bk>
    <bk>
      <extLst>
        <ext uri="{3e2802c4-a4d2-4d8b-9148-e3be6c30e623}">
          <xlrd:rvb i="2873"/>
        </ext>
      </extLst>
    </bk>
    <bk>
      <extLst>
        <ext uri="{3e2802c4-a4d2-4d8b-9148-e3be6c30e623}">
          <xlrd:rvb i="2874"/>
        </ext>
      </extLst>
    </bk>
    <bk>
      <extLst>
        <ext uri="{3e2802c4-a4d2-4d8b-9148-e3be6c30e623}">
          <xlrd:rvb i="2875"/>
        </ext>
      </extLst>
    </bk>
    <bk>
      <extLst>
        <ext uri="{3e2802c4-a4d2-4d8b-9148-e3be6c30e623}">
          <xlrd:rvb i="2876"/>
        </ext>
      </extLst>
    </bk>
    <bk>
      <extLst>
        <ext uri="{3e2802c4-a4d2-4d8b-9148-e3be6c30e623}">
          <xlrd:rvb i="2877"/>
        </ext>
      </extLst>
    </bk>
    <bk>
      <extLst>
        <ext uri="{3e2802c4-a4d2-4d8b-9148-e3be6c30e623}">
          <xlrd:rvb i="2878"/>
        </ext>
      </extLst>
    </bk>
    <bk>
      <extLst>
        <ext uri="{3e2802c4-a4d2-4d8b-9148-e3be6c30e623}">
          <xlrd:rvb i="2879"/>
        </ext>
      </extLst>
    </bk>
    <bk>
      <extLst>
        <ext uri="{3e2802c4-a4d2-4d8b-9148-e3be6c30e623}">
          <xlrd:rvb i="2880"/>
        </ext>
      </extLst>
    </bk>
    <bk>
      <extLst>
        <ext uri="{3e2802c4-a4d2-4d8b-9148-e3be6c30e623}">
          <xlrd:rvb i="2881"/>
        </ext>
      </extLst>
    </bk>
    <bk>
      <extLst>
        <ext uri="{3e2802c4-a4d2-4d8b-9148-e3be6c30e623}">
          <xlrd:rvb i="2882"/>
        </ext>
      </extLst>
    </bk>
    <bk>
      <extLst>
        <ext uri="{3e2802c4-a4d2-4d8b-9148-e3be6c30e623}">
          <xlrd:rvb i="2883"/>
        </ext>
      </extLst>
    </bk>
    <bk>
      <extLst>
        <ext uri="{3e2802c4-a4d2-4d8b-9148-e3be6c30e623}">
          <xlrd:rvb i="2884"/>
        </ext>
      </extLst>
    </bk>
    <bk>
      <extLst>
        <ext uri="{3e2802c4-a4d2-4d8b-9148-e3be6c30e623}">
          <xlrd:rvb i="2885"/>
        </ext>
      </extLst>
    </bk>
    <bk>
      <extLst>
        <ext uri="{3e2802c4-a4d2-4d8b-9148-e3be6c30e623}">
          <xlrd:rvb i="2886"/>
        </ext>
      </extLst>
    </bk>
    <bk>
      <extLst>
        <ext uri="{3e2802c4-a4d2-4d8b-9148-e3be6c30e623}">
          <xlrd:rvb i="2887"/>
        </ext>
      </extLst>
    </bk>
    <bk>
      <extLst>
        <ext uri="{3e2802c4-a4d2-4d8b-9148-e3be6c30e623}">
          <xlrd:rvb i="2888"/>
        </ext>
      </extLst>
    </bk>
    <bk>
      <extLst>
        <ext uri="{3e2802c4-a4d2-4d8b-9148-e3be6c30e623}">
          <xlrd:rvb i="2889"/>
        </ext>
      </extLst>
    </bk>
    <bk>
      <extLst>
        <ext uri="{3e2802c4-a4d2-4d8b-9148-e3be6c30e623}">
          <xlrd:rvb i="2890"/>
        </ext>
      </extLst>
    </bk>
    <bk>
      <extLst>
        <ext uri="{3e2802c4-a4d2-4d8b-9148-e3be6c30e623}">
          <xlrd:rvb i="2891"/>
        </ext>
      </extLst>
    </bk>
    <bk>
      <extLst>
        <ext uri="{3e2802c4-a4d2-4d8b-9148-e3be6c30e623}">
          <xlrd:rvb i="2892"/>
        </ext>
      </extLst>
    </bk>
    <bk>
      <extLst>
        <ext uri="{3e2802c4-a4d2-4d8b-9148-e3be6c30e623}">
          <xlrd:rvb i="2893"/>
        </ext>
      </extLst>
    </bk>
    <bk>
      <extLst>
        <ext uri="{3e2802c4-a4d2-4d8b-9148-e3be6c30e623}">
          <xlrd:rvb i="2894"/>
        </ext>
      </extLst>
    </bk>
    <bk>
      <extLst>
        <ext uri="{3e2802c4-a4d2-4d8b-9148-e3be6c30e623}">
          <xlrd:rvb i="2895"/>
        </ext>
      </extLst>
    </bk>
    <bk>
      <extLst>
        <ext uri="{3e2802c4-a4d2-4d8b-9148-e3be6c30e623}">
          <xlrd:rvb i="2896"/>
        </ext>
      </extLst>
    </bk>
    <bk>
      <extLst>
        <ext uri="{3e2802c4-a4d2-4d8b-9148-e3be6c30e623}">
          <xlrd:rvb i="2897"/>
        </ext>
      </extLst>
    </bk>
    <bk>
      <extLst>
        <ext uri="{3e2802c4-a4d2-4d8b-9148-e3be6c30e623}">
          <xlrd:rvb i="2898"/>
        </ext>
      </extLst>
    </bk>
    <bk>
      <extLst>
        <ext uri="{3e2802c4-a4d2-4d8b-9148-e3be6c30e623}">
          <xlrd:rvb i="2899"/>
        </ext>
      </extLst>
    </bk>
    <bk>
      <extLst>
        <ext uri="{3e2802c4-a4d2-4d8b-9148-e3be6c30e623}">
          <xlrd:rvb i="2900"/>
        </ext>
      </extLst>
    </bk>
    <bk>
      <extLst>
        <ext uri="{3e2802c4-a4d2-4d8b-9148-e3be6c30e623}">
          <xlrd:rvb i="2901"/>
        </ext>
      </extLst>
    </bk>
    <bk>
      <extLst>
        <ext uri="{3e2802c4-a4d2-4d8b-9148-e3be6c30e623}">
          <xlrd:rvb i="2902"/>
        </ext>
      </extLst>
    </bk>
    <bk>
      <extLst>
        <ext uri="{3e2802c4-a4d2-4d8b-9148-e3be6c30e623}">
          <xlrd:rvb i="2903"/>
        </ext>
      </extLst>
    </bk>
    <bk>
      <extLst>
        <ext uri="{3e2802c4-a4d2-4d8b-9148-e3be6c30e623}">
          <xlrd:rvb i="2904"/>
        </ext>
      </extLst>
    </bk>
    <bk>
      <extLst>
        <ext uri="{3e2802c4-a4d2-4d8b-9148-e3be6c30e623}">
          <xlrd:rvb i="2905"/>
        </ext>
      </extLst>
    </bk>
    <bk>
      <extLst>
        <ext uri="{3e2802c4-a4d2-4d8b-9148-e3be6c30e623}">
          <xlrd:rvb i="2906"/>
        </ext>
      </extLst>
    </bk>
    <bk>
      <extLst>
        <ext uri="{3e2802c4-a4d2-4d8b-9148-e3be6c30e623}">
          <xlrd:rvb i="2907"/>
        </ext>
      </extLst>
    </bk>
    <bk>
      <extLst>
        <ext uri="{3e2802c4-a4d2-4d8b-9148-e3be6c30e623}">
          <xlrd:rvb i="2908"/>
        </ext>
      </extLst>
    </bk>
    <bk>
      <extLst>
        <ext uri="{3e2802c4-a4d2-4d8b-9148-e3be6c30e623}">
          <xlrd:rvb i="2909"/>
        </ext>
      </extLst>
    </bk>
    <bk>
      <extLst>
        <ext uri="{3e2802c4-a4d2-4d8b-9148-e3be6c30e623}">
          <xlrd:rvb i="2910"/>
        </ext>
      </extLst>
    </bk>
    <bk>
      <extLst>
        <ext uri="{3e2802c4-a4d2-4d8b-9148-e3be6c30e623}">
          <xlrd:rvb i="2911"/>
        </ext>
      </extLst>
    </bk>
    <bk>
      <extLst>
        <ext uri="{3e2802c4-a4d2-4d8b-9148-e3be6c30e623}">
          <xlrd:rvb i="2912"/>
        </ext>
      </extLst>
    </bk>
    <bk>
      <extLst>
        <ext uri="{3e2802c4-a4d2-4d8b-9148-e3be6c30e623}">
          <xlrd:rvb i="2913"/>
        </ext>
      </extLst>
    </bk>
    <bk>
      <extLst>
        <ext uri="{3e2802c4-a4d2-4d8b-9148-e3be6c30e623}">
          <xlrd:rvb i="2914"/>
        </ext>
      </extLst>
    </bk>
    <bk>
      <extLst>
        <ext uri="{3e2802c4-a4d2-4d8b-9148-e3be6c30e623}">
          <xlrd:rvb i="2915"/>
        </ext>
      </extLst>
    </bk>
    <bk>
      <extLst>
        <ext uri="{3e2802c4-a4d2-4d8b-9148-e3be6c30e623}">
          <xlrd:rvb i="2916"/>
        </ext>
      </extLst>
    </bk>
    <bk>
      <extLst>
        <ext uri="{3e2802c4-a4d2-4d8b-9148-e3be6c30e623}">
          <xlrd:rvb i="2917"/>
        </ext>
      </extLst>
    </bk>
    <bk>
      <extLst>
        <ext uri="{3e2802c4-a4d2-4d8b-9148-e3be6c30e623}">
          <xlrd:rvb i="2918"/>
        </ext>
      </extLst>
    </bk>
    <bk>
      <extLst>
        <ext uri="{3e2802c4-a4d2-4d8b-9148-e3be6c30e623}">
          <xlrd:rvb i="2919"/>
        </ext>
      </extLst>
    </bk>
    <bk>
      <extLst>
        <ext uri="{3e2802c4-a4d2-4d8b-9148-e3be6c30e623}">
          <xlrd:rvb i="2920"/>
        </ext>
      </extLst>
    </bk>
    <bk>
      <extLst>
        <ext uri="{3e2802c4-a4d2-4d8b-9148-e3be6c30e623}">
          <xlrd:rvb i="2921"/>
        </ext>
      </extLst>
    </bk>
    <bk>
      <extLst>
        <ext uri="{3e2802c4-a4d2-4d8b-9148-e3be6c30e623}">
          <xlrd:rvb i="2922"/>
        </ext>
      </extLst>
    </bk>
    <bk>
      <extLst>
        <ext uri="{3e2802c4-a4d2-4d8b-9148-e3be6c30e623}">
          <xlrd:rvb i="2923"/>
        </ext>
      </extLst>
    </bk>
    <bk>
      <extLst>
        <ext uri="{3e2802c4-a4d2-4d8b-9148-e3be6c30e623}">
          <xlrd:rvb i="2924"/>
        </ext>
      </extLst>
    </bk>
    <bk>
      <extLst>
        <ext uri="{3e2802c4-a4d2-4d8b-9148-e3be6c30e623}">
          <xlrd:rvb i="2925"/>
        </ext>
      </extLst>
    </bk>
    <bk>
      <extLst>
        <ext uri="{3e2802c4-a4d2-4d8b-9148-e3be6c30e623}">
          <xlrd:rvb i="2926"/>
        </ext>
      </extLst>
    </bk>
    <bk>
      <extLst>
        <ext uri="{3e2802c4-a4d2-4d8b-9148-e3be6c30e623}">
          <xlrd:rvb i="2927"/>
        </ext>
      </extLst>
    </bk>
    <bk>
      <extLst>
        <ext uri="{3e2802c4-a4d2-4d8b-9148-e3be6c30e623}">
          <xlrd:rvb i="2928"/>
        </ext>
      </extLst>
    </bk>
    <bk>
      <extLst>
        <ext uri="{3e2802c4-a4d2-4d8b-9148-e3be6c30e623}">
          <xlrd:rvb i="2929"/>
        </ext>
      </extLst>
    </bk>
    <bk>
      <extLst>
        <ext uri="{3e2802c4-a4d2-4d8b-9148-e3be6c30e623}">
          <xlrd:rvb i="2930"/>
        </ext>
      </extLst>
    </bk>
    <bk>
      <extLst>
        <ext uri="{3e2802c4-a4d2-4d8b-9148-e3be6c30e623}">
          <xlrd:rvb i="2931"/>
        </ext>
      </extLst>
    </bk>
    <bk>
      <extLst>
        <ext uri="{3e2802c4-a4d2-4d8b-9148-e3be6c30e623}">
          <xlrd:rvb i="2932"/>
        </ext>
      </extLst>
    </bk>
    <bk>
      <extLst>
        <ext uri="{3e2802c4-a4d2-4d8b-9148-e3be6c30e623}">
          <xlrd:rvb i="2933"/>
        </ext>
      </extLst>
    </bk>
    <bk>
      <extLst>
        <ext uri="{3e2802c4-a4d2-4d8b-9148-e3be6c30e623}">
          <xlrd:rvb i="2934"/>
        </ext>
      </extLst>
    </bk>
    <bk>
      <extLst>
        <ext uri="{3e2802c4-a4d2-4d8b-9148-e3be6c30e623}">
          <xlrd:rvb i="2935"/>
        </ext>
      </extLst>
    </bk>
    <bk>
      <extLst>
        <ext uri="{3e2802c4-a4d2-4d8b-9148-e3be6c30e623}">
          <xlrd:rvb i="2936"/>
        </ext>
      </extLst>
    </bk>
    <bk>
      <extLst>
        <ext uri="{3e2802c4-a4d2-4d8b-9148-e3be6c30e623}">
          <xlrd:rvb i="2937"/>
        </ext>
      </extLst>
    </bk>
    <bk>
      <extLst>
        <ext uri="{3e2802c4-a4d2-4d8b-9148-e3be6c30e623}">
          <xlrd:rvb i="2938"/>
        </ext>
      </extLst>
    </bk>
    <bk>
      <extLst>
        <ext uri="{3e2802c4-a4d2-4d8b-9148-e3be6c30e623}">
          <xlrd:rvb i="2939"/>
        </ext>
      </extLst>
    </bk>
    <bk>
      <extLst>
        <ext uri="{3e2802c4-a4d2-4d8b-9148-e3be6c30e623}">
          <xlrd:rvb i="2940"/>
        </ext>
      </extLst>
    </bk>
    <bk>
      <extLst>
        <ext uri="{3e2802c4-a4d2-4d8b-9148-e3be6c30e623}">
          <xlrd:rvb i="2941"/>
        </ext>
      </extLst>
    </bk>
    <bk>
      <extLst>
        <ext uri="{3e2802c4-a4d2-4d8b-9148-e3be6c30e623}">
          <xlrd:rvb i="2942"/>
        </ext>
      </extLst>
    </bk>
    <bk>
      <extLst>
        <ext uri="{3e2802c4-a4d2-4d8b-9148-e3be6c30e623}">
          <xlrd:rvb i="2943"/>
        </ext>
      </extLst>
    </bk>
    <bk>
      <extLst>
        <ext uri="{3e2802c4-a4d2-4d8b-9148-e3be6c30e623}">
          <xlrd:rvb i="2944"/>
        </ext>
      </extLst>
    </bk>
    <bk>
      <extLst>
        <ext uri="{3e2802c4-a4d2-4d8b-9148-e3be6c30e623}">
          <xlrd:rvb i="2945"/>
        </ext>
      </extLst>
    </bk>
    <bk>
      <extLst>
        <ext uri="{3e2802c4-a4d2-4d8b-9148-e3be6c30e623}">
          <xlrd:rvb i="2946"/>
        </ext>
      </extLst>
    </bk>
    <bk>
      <extLst>
        <ext uri="{3e2802c4-a4d2-4d8b-9148-e3be6c30e623}">
          <xlrd:rvb i="2947"/>
        </ext>
      </extLst>
    </bk>
    <bk>
      <extLst>
        <ext uri="{3e2802c4-a4d2-4d8b-9148-e3be6c30e623}">
          <xlrd:rvb i="2948"/>
        </ext>
      </extLst>
    </bk>
    <bk>
      <extLst>
        <ext uri="{3e2802c4-a4d2-4d8b-9148-e3be6c30e623}">
          <xlrd:rvb i="2949"/>
        </ext>
      </extLst>
    </bk>
    <bk>
      <extLst>
        <ext uri="{3e2802c4-a4d2-4d8b-9148-e3be6c30e623}">
          <xlrd:rvb i="2950"/>
        </ext>
      </extLst>
    </bk>
    <bk>
      <extLst>
        <ext uri="{3e2802c4-a4d2-4d8b-9148-e3be6c30e623}">
          <xlrd:rvb i="2951"/>
        </ext>
      </extLst>
    </bk>
    <bk>
      <extLst>
        <ext uri="{3e2802c4-a4d2-4d8b-9148-e3be6c30e623}">
          <xlrd:rvb i="2952"/>
        </ext>
      </extLst>
    </bk>
    <bk>
      <extLst>
        <ext uri="{3e2802c4-a4d2-4d8b-9148-e3be6c30e623}">
          <xlrd:rvb i="2953"/>
        </ext>
      </extLst>
    </bk>
    <bk>
      <extLst>
        <ext uri="{3e2802c4-a4d2-4d8b-9148-e3be6c30e623}">
          <xlrd:rvb i="2954"/>
        </ext>
      </extLst>
    </bk>
    <bk>
      <extLst>
        <ext uri="{3e2802c4-a4d2-4d8b-9148-e3be6c30e623}">
          <xlrd:rvb i="2955"/>
        </ext>
      </extLst>
    </bk>
    <bk>
      <extLst>
        <ext uri="{3e2802c4-a4d2-4d8b-9148-e3be6c30e623}">
          <xlrd:rvb i="2956"/>
        </ext>
      </extLst>
    </bk>
    <bk>
      <extLst>
        <ext uri="{3e2802c4-a4d2-4d8b-9148-e3be6c30e623}">
          <xlrd:rvb i="2957"/>
        </ext>
      </extLst>
    </bk>
    <bk>
      <extLst>
        <ext uri="{3e2802c4-a4d2-4d8b-9148-e3be6c30e623}">
          <xlrd:rvb i="2958"/>
        </ext>
      </extLst>
    </bk>
    <bk>
      <extLst>
        <ext uri="{3e2802c4-a4d2-4d8b-9148-e3be6c30e623}">
          <xlrd:rvb i="2959"/>
        </ext>
      </extLst>
    </bk>
    <bk>
      <extLst>
        <ext uri="{3e2802c4-a4d2-4d8b-9148-e3be6c30e623}">
          <xlrd:rvb i="2960"/>
        </ext>
      </extLst>
    </bk>
    <bk>
      <extLst>
        <ext uri="{3e2802c4-a4d2-4d8b-9148-e3be6c30e623}">
          <xlrd:rvb i="2961"/>
        </ext>
      </extLst>
    </bk>
    <bk>
      <extLst>
        <ext uri="{3e2802c4-a4d2-4d8b-9148-e3be6c30e623}">
          <xlrd:rvb i="2962"/>
        </ext>
      </extLst>
    </bk>
    <bk>
      <extLst>
        <ext uri="{3e2802c4-a4d2-4d8b-9148-e3be6c30e623}">
          <xlrd:rvb i="2963"/>
        </ext>
      </extLst>
    </bk>
    <bk>
      <extLst>
        <ext uri="{3e2802c4-a4d2-4d8b-9148-e3be6c30e623}">
          <xlrd:rvb i="2964"/>
        </ext>
      </extLst>
    </bk>
    <bk>
      <extLst>
        <ext uri="{3e2802c4-a4d2-4d8b-9148-e3be6c30e623}">
          <xlrd:rvb i="2965"/>
        </ext>
      </extLst>
    </bk>
    <bk>
      <extLst>
        <ext uri="{3e2802c4-a4d2-4d8b-9148-e3be6c30e623}">
          <xlrd:rvb i="2966"/>
        </ext>
      </extLst>
    </bk>
    <bk>
      <extLst>
        <ext uri="{3e2802c4-a4d2-4d8b-9148-e3be6c30e623}">
          <xlrd:rvb i="2967"/>
        </ext>
      </extLst>
    </bk>
    <bk>
      <extLst>
        <ext uri="{3e2802c4-a4d2-4d8b-9148-e3be6c30e623}">
          <xlrd:rvb i="2968"/>
        </ext>
      </extLst>
    </bk>
    <bk>
      <extLst>
        <ext uri="{3e2802c4-a4d2-4d8b-9148-e3be6c30e623}">
          <xlrd:rvb i="2969"/>
        </ext>
      </extLst>
    </bk>
    <bk>
      <extLst>
        <ext uri="{3e2802c4-a4d2-4d8b-9148-e3be6c30e623}">
          <xlrd:rvb i="2970"/>
        </ext>
      </extLst>
    </bk>
    <bk>
      <extLst>
        <ext uri="{3e2802c4-a4d2-4d8b-9148-e3be6c30e623}">
          <xlrd:rvb i="2971"/>
        </ext>
      </extLst>
    </bk>
    <bk>
      <extLst>
        <ext uri="{3e2802c4-a4d2-4d8b-9148-e3be6c30e623}">
          <xlrd:rvb i="2972"/>
        </ext>
      </extLst>
    </bk>
    <bk>
      <extLst>
        <ext uri="{3e2802c4-a4d2-4d8b-9148-e3be6c30e623}">
          <xlrd:rvb i="2973"/>
        </ext>
      </extLst>
    </bk>
    <bk>
      <extLst>
        <ext uri="{3e2802c4-a4d2-4d8b-9148-e3be6c30e623}">
          <xlrd:rvb i="2974"/>
        </ext>
      </extLst>
    </bk>
    <bk>
      <extLst>
        <ext uri="{3e2802c4-a4d2-4d8b-9148-e3be6c30e623}">
          <xlrd:rvb i="2975"/>
        </ext>
      </extLst>
    </bk>
    <bk>
      <extLst>
        <ext uri="{3e2802c4-a4d2-4d8b-9148-e3be6c30e623}">
          <xlrd:rvb i="2976"/>
        </ext>
      </extLst>
    </bk>
    <bk>
      <extLst>
        <ext uri="{3e2802c4-a4d2-4d8b-9148-e3be6c30e623}">
          <xlrd:rvb i="2977"/>
        </ext>
      </extLst>
    </bk>
    <bk>
      <extLst>
        <ext uri="{3e2802c4-a4d2-4d8b-9148-e3be6c30e623}">
          <xlrd:rvb i="2978"/>
        </ext>
      </extLst>
    </bk>
    <bk>
      <extLst>
        <ext uri="{3e2802c4-a4d2-4d8b-9148-e3be6c30e623}">
          <xlrd:rvb i="2979"/>
        </ext>
      </extLst>
    </bk>
    <bk>
      <extLst>
        <ext uri="{3e2802c4-a4d2-4d8b-9148-e3be6c30e623}">
          <xlrd:rvb i="2980"/>
        </ext>
      </extLst>
    </bk>
    <bk>
      <extLst>
        <ext uri="{3e2802c4-a4d2-4d8b-9148-e3be6c30e623}">
          <xlrd:rvb i="2981"/>
        </ext>
      </extLst>
    </bk>
    <bk>
      <extLst>
        <ext uri="{3e2802c4-a4d2-4d8b-9148-e3be6c30e623}">
          <xlrd:rvb i="2982"/>
        </ext>
      </extLst>
    </bk>
    <bk>
      <extLst>
        <ext uri="{3e2802c4-a4d2-4d8b-9148-e3be6c30e623}">
          <xlrd:rvb i="2983"/>
        </ext>
      </extLst>
    </bk>
    <bk>
      <extLst>
        <ext uri="{3e2802c4-a4d2-4d8b-9148-e3be6c30e623}">
          <xlrd:rvb i="2984"/>
        </ext>
      </extLst>
    </bk>
    <bk>
      <extLst>
        <ext uri="{3e2802c4-a4d2-4d8b-9148-e3be6c30e623}">
          <xlrd:rvb i="2985"/>
        </ext>
      </extLst>
    </bk>
    <bk>
      <extLst>
        <ext uri="{3e2802c4-a4d2-4d8b-9148-e3be6c30e623}">
          <xlrd:rvb i="2986"/>
        </ext>
      </extLst>
    </bk>
    <bk>
      <extLst>
        <ext uri="{3e2802c4-a4d2-4d8b-9148-e3be6c30e623}">
          <xlrd:rvb i="2987"/>
        </ext>
      </extLst>
    </bk>
    <bk>
      <extLst>
        <ext uri="{3e2802c4-a4d2-4d8b-9148-e3be6c30e623}">
          <xlrd:rvb i="2988"/>
        </ext>
      </extLst>
    </bk>
    <bk>
      <extLst>
        <ext uri="{3e2802c4-a4d2-4d8b-9148-e3be6c30e623}">
          <xlrd:rvb i="2989"/>
        </ext>
      </extLst>
    </bk>
    <bk>
      <extLst>
        <ext uri="{3e2802c4-a4d2-4d8b-9148-e3be6c30e623}">
          <xlrd:rvb i="2990"/>
        </ext>
      </extLst>
    </bk>
    <bk>
      <extLst>
        <ext uri="{3e2802c4-a4d2-4d8b-9148-e3be6c30e623}">
          <xlrd:rvb i="2991"/>
        </ext>
      </extLst>
    </bk>
    <bk>
      <extLst>
        <ext uri="{3e2802c4-a4d2-4d8b-9148-e3be6c30e623}">
          <xlrd:rvb i="2992"/>
        </ext>
      </extLst>
    </bk>
    <bk>
      <extLst>
        <ext uri="{3e2802c4-a4d2-4d8b-9148-e3be6c30e623}">
          <xlrd:rvb i="2993"/>
        </ext>
      </extLst>
    </bk>
    <bk>
      <extLst>
        <ext uri="{3e2802c4-a4d2-4d8b-9148-e3be6c30e623}">
          <xlrd:rvb i="2994"/>
        </ext>
      </extLst>
    </bk>
    <bk>
      <extLst>
        <ext uri="{3e2802c4-a4d2-4d8b-9148-e3be6c30e623}">
          <xlrd:rvb i="2995"/>
        </ext>
      </extLst>
    </bk>
    <bk>
      <extLst>
        <ext uri="{3e2802c4-a4d2-4d8b-9148-e3be6c30e623}">
          <xlrd:rvb i="2996"/>
        </ext>
      </extLst>
    </bk>
    <bk>
      <extLst>
        <ext uri="{3e2802c4-a4d2-4d8b-9148-e3be6c30e623}">
          <xlrd:rvb i="2997"/>
        </ext>
      </extLst>
    </bk>
    <bk>
      <extLst>
        <ext uri="{3e2802c4-a4d2-4d8b-9148-e3be6c30e623}">
          <xlrd:rvb i="2998"/>
        </ext>
      </extLst>
    </bk>
    <bk>
      <extLst>
        <ext uri="{3e2802c4-a4d2-4d8b-9148-e3be6c30e623}">
          <xlrd:rvb i="2999"/>
        </ext>
      </extLst>
    </bk>
    <bk>
      <extLst>
        <ext uri="{3e2802c4-a4d2-4d8b-9148-e3be6c30e623}">
          <xlrd:rvb i="3000"/>
        </ext>
      </extLst>
    </bk>
    <bk>
      <extLst>
        <ext uri="{3e2802c4-a4d2-4d8b-9148-e3be6c30e623}">
          <xlrd:rvb i="3001"/>
        </ext>
      </extLst>
    </bk>
    <bk>
      <extLst>
        <ext uri="{3e2802c4-a4d2-4d8b-9148-e3be6c30e623}">
          <xlrd:rvb i="3002"/>
        </ext>
      </extLst>
    </bk>
    <bk>
      <extLst>
        <ext uri="{3e2802c4-a4d2-4d8b-9148-e3be6c30e623}">
          <xlrd:rvb i="3003"/>
        </ext>
      </extLst>
    </bk>
    <bk>
      <extLst>
        <ext uri="{3e2802c4-a4d2-4d8b-9148-e3be6c30e623}">
          <xlrd:rvb i="3004"/>
        </ext>
      </extLst>
    </bk>
    <bk>
      <extLst>
        <ext uri="{3e2802c4-a4d2-4d8b-9148-e3be6c30e623}">
          <xlrd:rvb i="3005"/>
        </ext>
      </extLst>
    </bk>
    <bk>
      <extLst>
        <ext uri="{3e2802c4-a4d2-4d8b-9148-e3be6c30e623}">
          <xlrd:rvb i="3006"/>
        </ext>
      </extLst>
    </bk>
    <bk>
      <extLst>
        <ext uri="{3e2802c4-a4d2-4d8b-9148-e3be6c30e623}">
          <xlrd:rvb i="3007"/>
        </ext>
      </extLst>
    </bk>
    <bk>
      <extLst>
        <ext uri="{3e2802c4-a4d2-4d8b-9148-e3be6c30e623}">
          <xlrd:rvb i="3008"/>
        </ext>
      </extLst>
    </bk>
    <bk>
      <extLst>
        <ext uri="{3e2802c4-a4d2-4d8b-9148-e3be6c30e623}">
          <xlrd:rvb i="3009"/>
        </ext>
      </extLst>
    </bk>
    <bk>
      <extLst>
        <ext uri="{3e2802c4-a4d2-4d8b-9148-e3be6c30e623}">
          <xlrd:rvb i="3010"/>
        </ext>
      </extLst>
    </bk>
    <bk>
      <extLst>
        <ext uri="{3e2802c4-a4d2-4d8b-9148-e3be6c30e623}">
          <xlrd:rvb i="3011"/>
        </ext>
      </extLst>
    </bk>
    <bk>
      <extLst>
        <ext uri="{3e2802c4-a4d2-4d8b-9148-e3be6c30e623}">
          <xlrd:rvb i="3012"/>
        </ext>
      </extLst>
    </bk>
    <bk>
      <extLst>
        <ext uri="{3e2802c4-a4d2-4d8b-9148-e3be6c30e623}">
          <xlrd:rvb i="3013"/>
        </ext>
      </extLst>
    </bk>
    <bk>
      <extLst>
        <ext uri="{3e2802c4-a4d2-4d8b-9148-e3be6c30e623}">
          <xlrd:rvb i="3014"/>
        </ext>
      </extLst>
    </bk>
    <bk>
      <extLst>
        <ext uri="{3e2802c4-a4d2-4d8b-9148-e3be6c30e623}">
          <xlrd:rvb i="3015"/>
        </ext>
      </extLst>
    </bk>
    <bk>
      <extLst>
        <ext uri="{3e2802c4-a4d2-4d8b-9148-e3be6c30e623}">
          <xlrd:rvb i="3016"/>
        </ext>
      </extLst>
    </bk>
    <bk>
      <extLst>
        <ext uri="{3e2802c4-a4d2-4d8b-9148-e3be6c30e623}">
          <xlrd:rvb i="3017"/>
        </ext>
      </extLst>
    </bk>
    <bk>
      <extLst>
        <ext uri="{3e2802c4-a4d2-4d8b-9148-e3be6c30e623}">
          <xlrd:rvb i="3018"/>
        </ext>
      </extLst>
    </bk>
    <bk>
      <extLst>
        <ext uri="{3e2802c4-a4d2-4d8b-9148-e3be6c30e623}">
          <xlrd:rvb i="3019"/>
        </ext>
      </extLst>
    </bk>
    <bk>
      <extLst>
        <ext uri="{3e2802c4-a4d2-4d8b-9148-e3be6c30e623}">
          <xlrd:rvb i="3020"/>
        </ext>
      </extLst>
    </bk>
    <bk>
      <extLst>
        <ext uri="{3e2802c4-a4d2-4d8b-9148-e3be6c30e623}">
          <xlrd:rvb i="3021"/>
        </ext>
      </extLst>
    </bk>
    <bk>
      <extLst>
        <ext uri="{3e2802c4-a4d2-4d8b-9148-e3be6c30e623}">
          <xlrd:rvb i="3022"/>
        </ext>
      </extLst>
    </bk>
    <bk>
      <extLst>
        <ext uri="{3e2802c4-a4d2-4d8b-9148-e3be6c30e623}">
          <xlrd:rvb i="3023"/>
        </ext>
      </extLst>
    </bk>
    <bk>
      <extLst>
        <ext uri="{3e2802c4-a4d2-4d8b-9148-e3be6c30e623}">
          <xlrd:rvb i="3024"/>
        </ext>
      </extLst>
    </bk>
    <bk>
      <extLst>
        <ext uri="{3e2802c4-a4d2-4d8b-9148-e3be6c30e623}">
          <xlrd:rvb i="3025"/>
        </ext>
      </extLst>
    </bk>
    <bk>
      <extLst>
        <ext uri="{3e2802c4-a4d2-4d8b-9148-e3be6c30e623}">
          <xlrd:rvb i="3026"/>
        </ext>
      </extLst>
    </bk>
    <bk>
      <extLst>
        <ext uri="{3e2802c4-a4d2-4d8b-9148-e3be6c30e623}">
          <xlrd:rvb i="3027"/>
        </ext>
      </extLst>
    </bk>
    <bk>
      <extLst>
        <ext uri="{3e2802c4-a4d2-4d8b-9148-e3be6c30e623}">
          <xlrd:rvb i="3028"/>
        </ext>
      </extLst>
    </bk>
    <bk>
      <extLst>
        <ext uri="{3e2802c4-a4d2-4d8b-9148-e3be6c30e623}">
          <xlrd:rvb i="3029"/>
        </ext>
      </extLst>
    </bk>
    <bk>
      <extLst>
        <ext uri="{3e2802c4-a4d2-4d8b-9148-e3be6c30e623}">
          <xlrd:rvb i="3030"/>
        </ext>
      </extLst>
    </bk>
    <bk>
      <extLst>
        <ext uri="{3e2802c4-a4d2-4d8b-9148-e3be6c30e623}">
          <xlrd:rvb i="3031"/>
        </ext>
      </extLst>
    </bk>
    <bk>
      <extLst>
        <ext uri="{3e2802c4-a4d2-4d8b-9148-e3be6c30e623}">
          <xlrd:rvb i="3032"/>
        </ext>
      </extLst>
    </bk>
    <bk>
      <extLst>
        <ext uri="{3e2802c4-a4d2-4d8b-9148-e3be6c30e623}">
          <xlrd:rvb i="3033"/>
        </ext>
      </extLst>
    </bk>
    <bk>
      <extLst>
        <ext uri="{3e2802c4-a4d2-4d8b-9148-e3be6c30e623}">
          <xlrd:rvb i="3034"/>
        </ext>
      </extLst>
    </bk>
    <bk>
      <extLst>
        <ext uri="{3e2802c4-a4d2-4d8b-9148-e3be6c30e623}">
          <xlrd:rvb i="3035"/>
        </ext>
      </extLst>
    </bk>
    <bk>
      <extLst>
        <ext uri="{3e2802c4-a4d2-4d8b-9148-e3be6c30e623}">
          <xlrd:rvb i="3036"/>
        </ext>
      </extLst>
    </bk>
    <bk>
      <extLst>
        <ext uri="{3e2802c4-a4d2-4d8b-9148-e3be6c30e623}">
          <xlrd:rvb i="3037"/>
        </ext>
      </extLst>
    </bk>
    <bk>
      <extLst>
        <ext uri="{3e2802c4-a4d2-4d8b-9148-e3be6c30e623}">
          <xlrd:rvb i="3038"/>
        </ext>
      </extLst>
    </bk>
    <bk>
      <extLst>
        <ext uri="{3e2802c4-a4d2-4d8b-9148-e3be6c30e623}">
          <xlrd:rvb i="3039"/>
        </ext>
      </extLst>
    </bk>
    <bk>
      <extLst>
        <ext uri="{3e2802c4-a4d2-4d8b-9148-e3be6c30e623}">
          <xlrd:rvb i="3040"/>
        </ext>
      </extLst>
    </bk>
    <bk>
      <extLst>
        <ext uri="{3e2802c4-a4d2-4d8b-9148-e3be6c30e623}">
          <xlrd:rvb i="3041"/>
        </ext>
      </extLst>
    </bk>
    <bk>
      <extLst>
        <ext uri="{3e2802c4-a4d2-4d8b-9148-e3be6c30e623}">
          <xlrd:rvb i="3042"/>
        </ext>
      </extLst>
    </bk>
    <bk>
      <extLst>
        <ext uri="{3e2802c4-a4d2-4d8b-9148-e3be6c30e623}">
          <xlrd:rvb i="3043"/>
        </ext>
      </extLst>
    </bk>
    <bk>
      <extLst>
        <ext uri="{3e2802c4-a4d2-4d8b-9148-e3be6c30e623}">
          <xlrd:rvb i="3044"/>
        </ext>
      </extLst>
    </bk>
    <bk>
      <extLst>
        <ext uri="{3e2802c4-a4d2-4d8b-9148-e3be6c30e623}">
          <xlrd:rvb i="3045"/>
        </ext>
      </extLst>
    </bk>
    <bk>
      <extLst>
        <ext uri="{3e2802c4-a4d2-4d8b-9148-e3be6c30e623}">
          <xlrd:rvb i="3046"/>
        </ext>
      </extLst>
    </bk>
    <bk>
      <extLst>
        <ext uri="{3e2802c4-a4d2-4d8b-9148-e3be6c30e623}">
          <xlrd:rvb i="3047"/>
        </ext>
      </extLst>
    </bk>
    <bk>
      <extLst>
        <ext uri="{3e2802c4-a4d2-4d8b-9148-e3be6c30e623}">
          <xlrd:rvb i="3048"/>
        </ext>
      </extLst>
    </bk>
    <bk>
      <extLst>
        <ext uri="{3e2802c4-a4d2-4d8b-9148-e3be6c30e623}">
          <xlrd:rvb i="3049"/>
        </ext>
      </extLst>
    </bk>
    <bk>
      <extLst>
        <ext uri="{3e2802c4-a4d2-4d8b-9148-e3be6c30e623}">
          <xlrd:rvb i="3050"/>
        </ext>
      </extLst>
    </bk>
    <bk>
      <extLst>
        <ext uri="{3e2802c4-a4d2-4d8b-9148-e3be6c30e623}">
          <xlrd:rvb i="3051"/>
        </ext>
      </extLst>
    </bk>
    <bk>
      <extLst>
        <ext uri="{3e2802c4-a4d2-4d8b-9148-e3be6c30e623}">
          <xlrd:rvb i="3052"/>
        </ext>
      </extLst>
    </bk>
    <bk>
      <extLst>
        <ext uri="{3e2802c4-a4d2-4d8b-9148-e3be6c30e623}">
          <xlrd:rvb i="3053"/>
        </ext>
      </extLst>
    </bk>
    <bk>
      <extLst>
        <ext uri="{3e2802c4-a4d2-4d8b-9148-e3be6c30e623}">
          <xlrd:rvb i="3054"/>
        </ext>
      </extLst>
    </bk>
    <bk>
      <extLst>
        <ext uri="{3e2802c4-a4d2-4d8b-9148-e3be6c30e623}">
          <xlrd:rvb i="3055"/>
        </ext>
      </extLst>
    </bk>
    <bk>
      <extLst>
        <ext uri="{3e2802c4-a4d2-4d8b-9148-e3be6c30e623}">
          <xlrd:rvb i="3056"/>
        </ext>
      </extLst>
    </bk>
    <bk>
      <extLst>
        <ext uri="{3e2802c4-a4d2-4d8b-9148-e3be6c30e623}">
          <xlrd:rvb i="3057"/>
        </ext>
      </extLst>
    </bk>
    <bk>
      <extLst>
        <ext uri="{3e2802c4-a4d2-4d8b-9148-e3be6c30e623}">
          <xlrd:rvb i="3058"/>
        </ext>
      </extLst>
    </bk>
    <bk>
      <extLst>
        <ext uri="{3e2802c4-a4d2-4d8b-9148-e3be6c30e623}">
          <xlrd:rvb i="3059"/>
        </ext>
      </extLst>
    </bk>
    <bk>
      <extLst>
        <ext uri="{3e2802c4-a4d2-4d8b-9148-e3be6c30e623}">
          <xlrd:rvb i="3060"/>
        </ext>
      </extLst>
    </bk>
    <bk>
      <extLst>
        <ext uri="{3e2802c4-a4d2-4d8b-9148-e3be6c30e623}">
          <xlrd:rvb i="3061"/>
        </ext>
      </extLst>
    </bk>
    <bk>
      <extLst>
        <ext uri="{3e2802c4-a4d2-4d8b-9148-e3be6c30e623}">
          <xlrd:rvb i="3062"/>
        </ext>
      </extLst>
    </bk>
    <bk>
      <extLst>
        <ext uri="{3e2802c4-a4d2-4d8b-9148-e3be6c30e623}">
          <xlrd:rvb i="3063"/>
        </ext>
      </extLst>
    </bk>
    <bk>
      <extLst>
        <ext uri="{3e2802c4-a4d2-4d8b-9148-e3be6c30e623}">
          <xlrd:rvb i="3064"/>
        </ext>
      </extLst>
    </bk>
    <bk>
      <extLst>
        <ext uri="{3e2802c4-a4d2-4d8b-9148-e3be6c30e623}">
          <xlrd:rvb i="3065"/>
        </ext>
      </extLst>
    </bk>
    <bk>
      <extLst>
        <ext uri="{3e2802c4-a4d2-4d8b-9148-e3be6c30e623}">
          <xlrd:rvb i="3066"/>
        </ext>
      </extLst>
    </bk>
    <bk>
      <extLst>
        <ext uri="{3e2802c4-a4d2-4d8b-9148-e3be6c30e623}">
          <xlrd:rvb i="3067"/>
        </ext>
      </extLst>
    </bk>
    <bk>
      <extLst>
        <ext uri="{3e2802c4-a4d2-4d8b-9148-e3be6c30e623}">
          <xlrd:rvb i="3068"/>
        </ext>
      </extLst>
    </bk>
    <bk>
      <extLst>
        <ext uri="{3e2802c4-a4d2-4d8b-9148-e3be6c30e623}">
          <xlrd:rvb i="3069"/>
        </ext>
      </extLst>
    </bk>
    <bk>
      <extLst>
        <ext uri="{3e2802c4-a4d2-4d8b-9148-e3be6c30e623}">
          <xlrd:rvb i="3070"/>
        </ext>
      </extLst>
    </bk>
    <bk>
      <extLst>
        <ext uri="{3e2802c4-a4d2-4d8b-9148-e3be6c30e623}">
          <xlrd:rvb i="3071"/>
        </ext>
      </extLst>
    </bk>
    <bk>
      <extLst>
        <ext uri="{3e2802c4-a4d2-4d8b-9148-e3be6c30e623}">
          <xlrd:rvb i="3072"/>
        </ext>
      </extLst>
    </bk>
    <bk>
      <extLst>
        <ext uri="{3e2802c4-a4d2-4d8b-9148-e3be6c30e623}">
          <xlrd:rvb i="3073"/>
        </ext>
      </extLst>
    </bk>
    <bk>
      <extLst>
        <ext uri="{3e2802c4-a4d2-4d8b-9148-e3be6c30e623}">
          <xlrd:rvb i="3074"/>
        </ext>
      </extLst>
    </bk>
    <bk>
      <extLst>
        <ext uri="{3e2802c4-a4d2-4d8b-9148-e3be6c30e623}">
          <xlrd:rvb i="3075"/>
        </ext>
      </extLst>
    </bk>
    <bk>
      <extLst>
        <ext uri="{3e2802c4-a4d2-4d8b-9148-e3be6c30e623}">
          <xlrd:rvb i="3076"/>
        </ext>
      </extLst>
    </bk>
    <bk>
      <extLst>
        <ext uri="{3e2802c4-a4d2-4d8b-9148-e3be6c30e623}">
          <xlrd:rvb i="3077"/>
        </ext>
      </extLst>
    </bk>
    <bk>
      <extLst>
        <ext uri="{3e2802c4-a4d2-4d8b-9148-e3be6c30e623}">
          <xlrd:rvb i="3078"/>
        </ext>
      </extLst>
    </bk>
    <bk>
      <extLst>
        <ext uri="{3e2802c4-a4d2-4d8b-9148-e3be6c30e623}">
          <xlrd:rvb i="3079"/>
        </ext>
      </extLst>
    </bk>
    <bk>
      <extLst>
        <ext uri="{3e2802c4-a4d2-4d8b-9148-e3be6c30e623}">
          <xlrd:rvb i="3080"/>
        </ext>
      </extLst>
    </bk>
    <bk>
      <extLst>
        <ext uri="{3e2802c4-a4d2-4d8b-9148-e3be6c30e623}">
          <xlrd:rvb i="3081"/>
        </ext>
      </extLst>
    </bk>
    <bk>
      <extLst>
        <ext uri="{3e2802c4-a4d2-4d8b-9148-e3be6c30e623}">
          <xlrd:rvb i="3082"/>
        </ext>
      </extLst>
    </bk>
    <bk>
      <extLst>
        <ext uri="{3e2802c4-a4d2-4d8b-9148-e3be6c30e623}">
          <xlrd:rvb i="3083"/>
        </ext>
      </extLst>
    </bk>
    <bk>
      <extLst>
        <ext uri="{3e2802c4-a4d2-4d8b-9148-e3be6c30e623}">
          <xlrd:rvb i="3084"/>
        </ext>
      </extLst>
    </bk>
    <bk>
      <extLst>
        <ext uri="{3e2802c4-a4d2-4d8b-9148-e3be6c30e623}">
          <xlrd:rvb i="3085"/>
        </ext>
      </extLst>
    </bk>
    <bk>
      <extLst>
        <ext uri="{3e2802c4-a4d2-4d8b-9148-e3be6c30e623}">
          <xlrd:rvb i="3086"/>
        </ext>
      </extLst>
    </bk>
    <bk>
      <extLst>
        <ext uri="{3e2802c4-a4d2-4d8b-9148-e3be6c30e623}">
          <xlrd:rvb i="3087"/>
        </ext>
      </extLst>
    </bk>
    <bk>
      <extLst>
        <ext uri="{3e2802c4-a4d2-4d8b-9148-e3be6c30e623}">
          <xlrd:rvb i="3088"/>
        </ext>
      </extLst>
    </bk>
    <bk>
      <extLst>
        <ext uri="{3e2802c4-a4d2-4d8b-9148-e3be6c30e623}">
          <xlrd:rvb i="3089"/>
        </ext>
      </extLst>
    </bk>
    <bk>
      <extLst>
        <ext uri="{3e2802c4-a4d2-4d8b-9148-e3be6c30e623}">
          <xlrd:rvb i="3090"/>
        </ext>
      </extLst>
    </bk>
    <bk>
      <extLst>
        <ext uri="{3e2802c4-a4d2-4d8b-9148-e3be6c30e623}">
          <xlrd:rvb i="3091"/>
        </ext>
      </extLst>
    </bk>
    <bk>
      <extLst>
        <ext uri="{3e2802c4-a4d2-4d8b-9148-e3be6c30e623}">
          <xlrd:rvb i="3092"/>
        </ext>
      </extLst>
    </bk>
    <bk>
      <extLst>
        <ext uri="{3e2802c4-a4d2-4d8b-9148-e3be6c30e623}">
          <xlrd:rvb i="3093"/>
        </ext>
      </extLst>
    </bk>
    <bk>
      <extLst>
        <ext uri="{3e2802c4-a4d2-4d8b-9148-e3be6c30e623}">
          <xlrd:rvb i="3094"/>
        </ext>
      </extLst>
    </bk>
    <bk>
      <extLst>
        <ext uri="{3e2802c4-a4d2-4d8b-9148-e3be6c30e623}">
          <xlrd:rvb i="3095"/>
        </ext>
      </extLst>
    </bk>
    <bk>
      <extLst>
        <ext uri="{3e2802c4-a4d2-4d8b-9148-e3be6c30e623}">
          <xlrd:rvb i="3096"/>
        </ext>
      </extLst>
    </bk>
    <bk>
      <extLst>
        <ext uri="{3e2802c4-a4d2-4d8b-9148-e3be6c30e623}">
          <xlrd:rvb i="3097"/>
        </ext>
      </extLst>
    </bk>
    <bk>
      <extLst>
        <ext uri="{3e2802c4-a4d2-4d8b-9148-e3be6c30e623}">
          <xlrd:rvb i="3098"/>
        </ext>
      </extLst>
    </bk>
    <bk>
      <extLst>
        <ext uri="{3e2802c4-a4d2-4d8b-9148-e3be6c30e623}">
          <xlrd:rvb i="3099"/>
        </ext>
      </extLst>
    </bk>
    <bk>
      <extLst>
        <ext uri="{3e2802c4-a4d2-4d8b-9148-e3be6c30e623}">
          <xlrd:rvb i="3100"/>
        </ext>
      </extLst>
    </bk>
    <bk>
      <extLst>
        <ext uri="{3e2802c4-a4d2-4d8b-9148-e3be6c30e623}">
          <xlrd:rvb i="3101"/>
        </ext>
      </extLst>
    </bk>
    <bk>
      <extLst>
        <ext uri="{3e2802c4-a4d2-4d8b-9148-e3be6c30e623}">
          <xlrd:rvb i="3102"/>
        </ext>
      </extLst>
    </bk>
    <bk>
      <extLst>
        <ext uri="{3e2802c4-a4d2-4d8b-9148-e3be6c30e623}">
          <xlrd:rvb i="3103"/>
        </ext>
      </extLst>
    </bk>
    <bk>
      <extLst>
        <ext uri="{3e2802c4-a4d2-4d8b-9148-e3be6c30e623}">
          <xlrd:rvb i="3104"/>
        </ext>
      </extLst>
    </bk>
    <bk>
      <extLst>
        <ext uri="{3e2802c4-a4d2-4d8b-9148-e3be6c30e623}">
          <xlrd:rvb i="3105"/>
        </ext>
      </extLst>
    </bk>
    <bk>
      <extLst>
        <ext uri="{3e2802c4-a4d2-4d8b-9148-e3be6c30e623}">
          <xlrd:rvb i="3106"/>
        </ext>
      </extLst>
    </bk>
    <bk>
      <extLst>
        <ext uri="{3e2802c4-a4d2-4d8b-9148-e3be6c30e623}">
          <xlrd:rvb i="3107"/>
        </ext>
      </extLst>
    </bk>
    <bk>
      <extLst>
        <ext uri="{3e2802c4-a4d2-4d8b-9148-e3be6c30e623}">
          <xlrd:rvb i="3108"/>
        </ext>
      </extLst>
    </bk>
    <bk>
      <extLst>
        <ext uri="{3e2802c4-a4d2-4d8b-9148-e3be6c30e623}">
          <xlrd:rvb i="3109"/>
        </ext>
      </extLst>
    </bk>
    <bk>
      <extLst>
        <ext uri="{3e2802c4-a4d2-4d8b-9148-e3be6c30e623}">
          <xlrd:rvb i="3110"/>
        </ext>
      </extLst>
    </bk>
    <bk>
      <extLst>
        <ext uri="{3e2802c4-a4d2-4d8b-9148-e3be6c30e623}">
          <xlrd:rvb i="3111"/>
        </ext>
      </extLst>
    </bk>
    <bk>
      <extLst>
        <ext uri="{3e2802c4-a4d2-4d8b-9148-e3be6c30e623}">
          <xlrd:rvb i="3112"/>
        </ext>
      </extLst>
    </bk>
    <bk>
      <extLst>
        <ext uri="{3e2802c4-a4d2-4d8b-9148-e3be6c30e623}">
          <xlrd:rvb i="3113"/>
        </ext>
      </extLst>
    </bk>
    <bk>
      <extLst>
        <ext uri="{3e2802c4-a4d2-4d8b-9148-e3be6c30e623}">
          <xlrd:rvb i="3114"/>
        </ext>
      </extLst>
    </bk>
    <bk>
      <extLst>
        <ext uri="{3e2802c4-a4d2-4d8b-9148-e3be6c30e623}">
          <xlrd:rvb i="3115"/>
        </ext>
      </extLst>
    </bk>
    <bk>
      <extLst>
        <ext uri="{3e2802c4-a4d2-4d8b-9148-e3be6c30e623}">
          <xlrd:rvb i="3116"/>
        </ext>
      </extLst>
    </bk>
    <bk>
      <extLst>
        <ext uri="{3e2802c4-a4d2-4d8b-9148-e3be6c30e623}">
          <xlrd:rvb i="3117"/>
        </ext>
      </extLst>
    </bk>
    <bk>
      <extLst>
        <ext uri="{3e2802c4-a4d2-4d8b-9148-e3be6c30e623}">
          <xlrd:rvb i="3118"/>
        </ext>
      </extLst>
    </bk>
    <bk>
      <extLst>
        <ext uri="{3e2802c4-a4d2-4d8b-9148-e3be6c30e623}">
          <xlrd:rvb i="3119"/>
        </ext>
      </extLst>
    </bk>
    <bk>
      <extLst>
        <ext uri="{3e2802c4-a4d2-4d8b-9148-e3be6c30e623}">
          <xlrd:rvb i="3120"/>
        </ext>
      </extLst>
    </bk>
    <bk>
      <extLst>
        <ext uri="{3e2802c4-a4d2-4d8b-9148-e3be6c30e623}">
          <xlrd:rvb i="3121"/>
        </ext>
      </extLst>
    </bk>
    <bk>
      <extLst>
        <ext uri="{3e2802c4-a4d2-4d8b-9148-e3be6c30e623}">
          <xlrd:rvb i="3122"/>
        </ext>
      </extLst>
    </bk>
    <bk>
      <extLst>
        <ext uri="{3e2802c4-a4d2-4d8b-9148-e3be6c30e623}">
          <xlrd:rvb i="3123"/>
        </ext>
      </extLst>
    </bk>
    <bk>
      <extLst>
        <ext uri="{3e2802c4-a4d2-4d8b-9148-e3be6c30e623}">
          <xlrd:rvb i="3124"/>
        </ext>
      </extLst>
    </bk>
    <bk>
      <extLst>
        <ext uri="{3e2802c4-a4d2-4d8b-9148-e3be6c30e623}">
          <xlrd:rvb i="3125"/>
        </ext>
      </extLst>
    </bk>
    <bk>
      <extLst>
        <ext uri="{3e2802c4-a4d2-4d8b-9148-e3be6c30e623}">
          <xlrd:rvb i="3126"/>
        </ext>
      </extLst>
    </bk>
    <bk>
      <extLst>
        <ext uri="{3e2802c4-a4d2-4d8b-9148-e3be6c30e623}">
          <xlrd:rvb i="3127"/>
        </ext>
      </extLst>
    </bk>
    <bk>
      <extLst>
        <ext uri="{3e2802c4-a4d2-4d8b-9148-e3be6c30e623}">
          <xlrd:rvb i="3128"/>
        </ext>
      </extLst>
    </bk>
    <bk>
      <extLst>
        <ext uri="{3e2802c4-a4d2-4d8b-9148-e3be6c30e623}">
          <xlrd:rvb i="3129"/>
        </ext>
      </extLst>
    </bk>
    <bk>
      <extLst>
        <ext uri="{3e2802c4-a4d2-4d8b-9148-e3be6c30e623}">
          <xlrd:rvb i="3130"/>
        </ext>
      </extLst>
    </bk>
    <bk>
      <extLst>
        <ext uri="{3e2802c4-a4d2-4d8b-9148-e3be6c30e623}">
          <xlrd:rvb i="3131"/>
        </ext>
      </extLst>
    </bk>
    <bk>
      <extLst>
        <ext uri="{3e2802c4-a4d2-4d8b-9148-e3be6c30e623}">
          <xlrd:rvb i="3132"/>
        </ext>
      </extLst>
    </bk>
    <bk>
      <extLst>
        <ext uri="{3e2802c4-a4d2-4d8b-9148-e3be6c30e623}">
          <xlrd:rvb i="3133"/>
        </ext>
      </extLst>
    </bk>
    <bk>
      <extLst>
        <ext uri="{3e2802c4-a4d2-4d8b-9148-e3be6c30e623}">
          <xlrd:rvb i="3134"/>
        </ext>
      </extLst>
    </bk>
    <bk>
      <extLst>
        <ext uri="{3e2802c4-a4d2-4d8b-9148-e3be6c30e623}">
          <xlrd:rvb i="3135"/>
        </ext>
      </extLst>
    </bk>
    <bk>
      <extLst>
        <ext uri="{3e2802c4-a4d2-4d8b-9148-e3be6c30e623}">
          <xlrd:rvb i="3136"/>
        </ext>
      </extLst>
    </bk>
    <bk>
      <extLst>
        <ext uri="{3e2802c4-a4d2-4d8b-9148-e3be6c30e623}">
          <xlrd:rvb i="3137"/>
        </ext>
      </extLst>
    </bk>
    <bk>
      <extLst>
        <ext uri="{3e2802c4-a4d2-4d8b-9148-e3be6c30e623}">
          <xlrd:rvb i="3138"/>
        </ext>
      </extLst>
    </bk>
    <bk>
      <extLst>
        <ext uri="{3e2802c4-a4d2-4d8b-9148-e3be6c30e623}">
          <xlrd:rvb i="3139"/>
        </ext>
      </extLst>
    </bk>
    <bk>
      <extLst>
        <ext uri="{3e2802c4-a4d2-4d8b-9148-e3be6c30e623}">
          <xlrd:rvb i="3140"/>
        </ext>
      </extLst>
    </bk>
    <bk>
      <extLst>
        <ext uri="{3e2802c4-a4d2-4d8b-9148-e3be6c30e623}">
          <xlrd:rvb i="3141"/>
        </ext>
      </extLst>
    </bk>
    <bk>
      <extLst>
        <ext uri="{3e2802c4-a4d2-4d8b-9148-e3be6c30e623}">
          <xlrd:rvb i="3142"/>
        </ext>
      </extLst>
    </bk>
    <bk>
      <extLst>
        <ext uri="{3e2802c4-a4d2-4d8b-9148-e3be6c30e623}">
          <xlrd:rvb i="3143"/>
        </ext>
      </extLst>
    </bk>
    <bk>
      <extLst>
        <ext uri="{3e2802c4-a4d2-4d8b-9148-e3be6c30e623}">
          <xlrd:rvb i="3144"/>
        </ext>
      </extLst>
    </bk>
    <bk>
      <extLst>
        <ext uri="{3e2802c4-a4d2-4d8b-9148-e3be6c30e623}">
          <xlrd:rvb i="3145"/>
        </ext>
      </extLst>
    </bk>
    <bk>
      <extLst>
        <ext uri="{3e2802c4-a4d2-4d8b-9148-e3be6c30e623}">
          <xlrd:rvb i="3146"/>
        </ext>
      </extLst>
    </bk>
    <bk>
      <extLst>
        <ext uri="{3e2802c4-a4d2-4d8b-9148-e3be6c30e623}">
          <xlrd:rvb i="3147"/>
        </ext>
      </extLst>
    </bk>
    <bk>
      <extLst>
        <ext uri="{3e2802c4-a4d2-4d8b-9148-e3be6c30e623}">
          <xlrd:rvb i="3148"/>
        </ext>
      </extLst>
    </bk>
    <bk>
      <extLst>
        <ext uri="{3e2802c4-a4d2-4d8b-9148-e3be6c30e623}">
          <xlrd:rvb i="3149"/>
        </ext>
      </extLst>
    </bk>
    <bk>
      <extLst>
        <ext uri="{3e2802c4-a4d2-4d8b-9148-e3be6c30e623}">
          <xlrd:rvb i="3150"/>
        </ext>
      </extLst>
    </bk>
    <bk>
      <extLst>
        <ext uri="{3e2802c4-a4d2-4d8b-9148-e3be6c30e623}">
          <xlrd:rvb i="3151"/>
        </ext>
      </extLst>
    </bk>
    <bk>
      <extLst>
        <ext uri="{3e2802c4-a4d2-4d8b-9148-e3be6c30e623}">
          <xlrd:rvb i="3152"/>
        </ext>
      </extLst>
    </bk>
    <bk>
      <extLst>
        <ext uri="{3e2802c4-a4d2-4d8b-9148-e3be6c30e623}">
          <xlrd:rvb i="3153"/>
        </ext>
      </extLst>
    </bk>
    <bk>
      <extLst>
        <ext uri="{3e2802c4-a4d2-4d8b-9148-e3be6c30e623}">
          <xlrd:rvb i="3154"/>
        </ext>
      </extLst>
    </bk>
    <bk>
      <extLst>
        <ext uri="{3e2802c4-a4d2-4d8b-9148-e3be6c30e623}">
          <xlrd:rvb i="3155"/>
        </ext>
      </extLst>
    </bk>
    <bk>
      <extLst>
        <ext uri="{3e2802c4-a4d2-4d8b-9148-e3be6c30e623}">
          <xlrd:rvb i="3156"/>
        </ext>
      </extLst>
    </bk>
    <bk>
      <extLst>
        <ext uri="{3e2802c4-a4d2-4d8b-9148-e3be6c30e623}">
          <xlrd:rvb i="3157"/>
        </ext>
      </extLst>
    </bk>
    <bk>
      <extLst>
        <ext uri="{3e2802c4-a4d2-4d8b-9148-e3be6c30e623}">
          <xlrd:rvb i="3158"/>
        </ext>
      </extLst>
    </bk>
    <bk>
      <extLst>
        <ext uri="{3e2802c4-a4d2-4d8b-9148-e3be6c30e623}">
          <xlrd:rvb i="3159"/>
        </ext>
      </extLst>
    </bk>
    <bk>
      <extLst>
        <ext uri="{3e2802c4-a4d2-4d8b-9148-e3be6c30e623}">
          <xlrd:rvb i="3160"/>
        </ext>
      </extLst>
    </bk>
    <bk>
      <extLst>
        <ext uri="{3e2802c4-a4d2-4d8b-9148-e3be6c30e623}">
          <xlrd:rvb i="3161"/>
        </ext>
      </extLst>
    </bk>
    <bk>
      <extLst>
        <ext uri="{3e2802c4-a4d2-4d8b-9148-e3be6c30e623}">
          <xlrd:rvb i="3162"/>
        </ext>
      </extLst>
    </bk>
    <bk>
      <extLst>
        <ext uri="{3e2802c4-a4d2-4d8b-9148-e3be6c30e623}">
          <xlrd:rvb i="3163"/>
        </ext>
      </extLst>
    </bk>
    <bk>
      <extLst>
        <ext uri="{3e2802c4-a4d2-4d8b-9148-e3be6c30e623}">
          <xlrd:rvb i="3164"/>
        </ext>
      </extLst>
    </bk>
    <bk>
      <extLst>
        <ext uri="{3e2802c4-a4d2-4d8b-9148-e3be6c30e623}">
          <xlrd:rvb i="3165"/>
        </ext>
      </extLst>
    </bk>
    <bk>
      <extLst>
        <ext uri="{3e2802c4-a4d2-4d8b-9148-e3be6c30e623}">
          <xlrd:rvb i="3166"/>
        </ext>
      </extLst>
    </bk>
    <bk>
      <extLst>
        <ext uri="{3e2802c4-a4d2-4d8b-9148-e3be6c30e623}">
          <xlrd:rvb i="3167"/>
        </ext>
      </extLst>
    </bk>
    <bk>
      <extLst>
        <ext uri="{3e2802c4-a4d2-4d8b-9148-e3be6c30e623}">
          <xlrd:rvb i="3168"/>
        </ext>
      </extLst>
    </bk>
    <bk>
      <extLst>
        <ext uri="{3e2802c4-a4d2-4d8b-9148-e3be6c30e623}">
          <xlrd:rvb i="3169"/>
        </ext>
      </extLst>
    </bk>
    <bk>
      <extLst>
        <ext uri="{3e2802c4-a4d2-4d8b-9148-e3be6c30e623}">
          <xlrd:rvb i="3170"/>
        </ext>
      </extLst>
    </bk>
    <bk>
      <extLst>
        <ext uri="{3e2802c4-a4d2-4d8b-9148-e3be6c30e623}">
          <xlrd:rvb i="3171"/>
        </ext>
      </extLst>
    </bk>
    <bk>
      <extLst>
        <ext uri="{3e2802c4-a4d2-4d8b-9148-e3be6c30e623}">
          <xlrd:rvb i="3172"/>
        </ext>
      </extLst>
    </bk>
    <bk>
      <extLst>
        <ext uri="{3e2802c4-a4d2-4d8b-9148-e3be6c30e623}">
          <xlrd:rvb i="3173"/>
        </ext>
      </extLst>
    </bk>
    <bk>
      <extLst>
        <ext uri="{3e2802c4-a4d2-4d8b-9148-e3be6c30e623}">
          <xlrd:rvb i="3174"/>
        </ext>
      </extLst>
    </bk>
    <bk>
      <extLst>
        <ext uri="{3e2802c4-a4d2-4d8b-9148-e3be6c30e623}">
          <xlrd:rvb i="3175"/>
        </ext>
      </extLst>
    </bk>
    <bk>
      <extLst>
        <ext uri="{3e2802c4-a4d2-4d8b-9148-e3be6c30e623}">
          <xlrd:rvb i="3176"/>
        </ext>
      </extLst>
    </bk>
    <bk>
      <extLst>
        <ext uri="{3e2802c4-a4d2-4d8b-9148-e3be6c30e623}">
          <xlrd:rvb i="3177"/>
        </ext>
      </extLst>
    </bk>
    <bk>
      <extLst>
        <ext uri="{3e2802c4-a4d2-4d8b-9148-e3be6c30e623}">
          <xlrd:rvb i="3178"/>
        </ext>
      </extLst>
    </bk>
    <bk>
      <extLst>
        <ext uri="{3e2802c4-a4d2-4d8b-9148-e3be6c30e623}">
          <xlrd:rvb i="3179"/>
        </ext>
      </extLst>
    </bk>
    <bk>
      <extLst>
        <ext uri="{3e2802c4-a4d2-4d8b-9148-e3be6c30e623}">
          <xlrd:rvb i="3180"/>
        </ext>
      </extLst>
    </bk>
    <bk>
      <extLst>
        <ext uri="{3e2802c4-a4d2-4d8b-9148-e3be6c30e623}">
          <xlrd:rvb i="3181"/>
        </ext>
      </extLst>
    </bk>
    <bk>
      <extLst>
        <ext uri="{3e2802c4-a4d2-4d8b-9148-e3be6c30e623}">
          <xlrd:rvb i="3182"/>
        </ext>
      </extLst>
    </bk>
    <bk>
      <extLst>
        <ext uri="{3e2802c4-a4d2-4d8b-9148-e3be6c30e623}">
          <xlrd:rvb i="3183"/>
        </ext>
      </extLst>
    </bk>
    <bk>
      <extLst>
        <ext uri="{3e2802c4-a4d2-4d8b-9148-e3be6c30e623}">
          <xlrd:rvb i="3184"/>
        </ext>
      </extLst>
    </bk>
    <bk>
      <extLst>
        <ext uri="{3e2802c4-a4d2-4d8b-9148-e3be6c30e623}">
          <xlrd:rvb i="3185"/>
        </ext>
      </extLst>
    </bk>
    <bk>
      <extLst>
        <ext uri="{3e2802c4-a4d2-4d8b-9148-e3be6c30e623}">
          <xlrd:rvb i="3186"/>
        </ext>
      </extLst>
    </bk>
    <bk>
      <extLst>
        <ext uri="{3e2802c4-a4d2-4d8b-9148-e3be6c30e623}">
          <xlrd:rvb i="3187"/>
        </ext>
      </extLst>
    </bk>
    <bk>
      <extLst>
        <ext uri="{3e2802c4-a4d2-4d8b-9148-e3be6c30e623}">
          <xlrd:rvb i="3188"/>
        </ext>
      </extLst>
    </bk>
    <bk>
      <extLst>
        <ext uri="{3e2802c4-a4d2-4d8b-9148-e3be6c30e623}">
          <xlrd:rvb i="3189"/>
        </ext>
      </extLst>
    </bk>
    <bk>
      <extLst>
        <ext uri="{3e2802c4-a4d2-4d8b-9148-e3be6c30e623}">
          <xlrd:rvb i="3190"/>
        </ext>
      </extLst>
    </bk>
    <bk>
      <extLst>
        <ext uri="{3e2802c4-a4d2-4d8b-9148-e3be6c30e623}">
          <xlrd:rvb i="3191"/>
        </ext>
      </extLst>
    </bk>
    <bk>
      <extLst>
        <ext uri="{3e2802c4-a4d2-4d8b-9148-e3be6c30e623}">
          <xlrd:rvb i="3192"/>
        </ext>
      </extLst>
    </bk>
    <bk>
      <extLst>
        <ext uri="{3e2802c4-a4d2-4d8b-9148-e3be6c30e623}">
          <xlrd:rvb i="3193"/>
        </ext>
      </extLst>
    </bk>
    <bk>
      <extLst>
        <ext uri="{3e2802c4-a4d2-4d8b-9148-e3be6c30e623}">
          <xlrd:rvb i="3194"/>
        </ext>
      </extLst>
    </bk>
    <bk>
      <extLst>
        <ext uri="{3e2802c4-a4d2-4d8b-9148-e3be6c30e623}">
          <xlrd:rvb i="3195"/>
        </ext>
      </extLst>
    </bk>
    <bk>
      <extLst>
        <ext uri="{3e2802c4-a4d2-4d8b-9148-e3be6c30e623}">
          <xlrd:rvb i="3196"/>
        </ext>
      </extLst>
    </bk>
    <bk>
      <extLst>
        <ext uri="{3e2802c4-a4d2-4d8b-9148-e3be6c30e623}">
          <xlrd:rvb i="3197"/>
        </ext>
      </extLst>
    </bk>
    <bk>
      <extLst>
        <ext uri="{3e2802c4-a4d2-4d8b-9148-e3be6c30e623}">
          <xlrd:rvb i="3198"/>
        </ext>
      </extLst>
    </bk>
    <bk>
      <extLst>
        <ext uri="{3e2802c4-a4d2-4d8b-9148-e3be6c30e623}">
          <xlrd:rvb i="3199"/>
        </ext>
      </extLst>
    </bk>
    <bk>
      <extLst>
        <ext uri="{3e2802c4-a4d2-4d8b-9148-e3be6c30e623}">
          <xlrd:rvb i="3200"/>
        </ext>
      </extLst>
    </bk>
    <bk>
      <extLst>
        <ext uri="{3e2802c4-a4d2-4d8b-9148-e3be6c30e623}">
          <xlrd:rvb i="3201"/>
        </ext>
      </extLst>
    </bk>
    <bk>
      <extLst>
        <ext uri="{3e2802c4-a4d2-4d8b-9148-e3be6c30e623}">
          <xlrd:rvb i="3202"/>
        </ext>
      </extLst>
    </bk>
    <bk>
      <extLst>
        <ext uri="{3e2802c4-a4d2-4d8b-9148-e3be6c30e623}">
          <xlrd:rvb i="3203"/>
        </ext>
      </extLst>
    </bk>
    <bk>
      <extLst>
        <ext uri="{3e2802c4-a4d2-4d8b-9148-e3be6c30e623}">
          <xlrd:rvb i="3204"/>
        </ext>
      </extLst>
    </bk>
    <bk>
      <extLst>
        <ext uri="{3e2802c4-a4d2-4d8b-9148-e3be6c30e623}">
          <xlrd:rvb i="3205"/>
        </ext>
      </extLst>
    </bk>
    <bk>
      <extLst>
        <ext uri="{3e2802c4-a4d2-4d8b-9148-e3be6c30e623}">
          <xlrd:rvb i="3206"/>
        </ext>
      </extLst>
    </bk>
    <bk>
      <extLst>
        <ext uri="{3e2802c4-a4d2-4d8b-9148-e3be6c30e623}">
          <xlrd:rvb i="3207"/>
        </ext>
      </extLst>
    </bk>
    <bk>
      <extLst>
        <ext uri="{3e2802c4-a4d2-4d8b-9148-e3be6c30e623}">
          <xlrd:rvb i="3208"/>
        </ext>
      </extLst>
    </bk>
    <bk>
      <extLst>
        <ext uri="{3e2802c4-a4d2-4d8b-9148-e3be6c30e623}">
          <xlrd:rvb i="3209"/>
        </ext>
      </extLst>
    </bk>
    <bk>
      <extLst>
        <ext uri="{3e2802c4-a4d2-4d8b-9148-e3be6c30e623}">
          <xlrd:rvb i="3210"/>
        </ext>
      </extLst>
    </bk>
    <bk>
      <extLst>
        <ext uri="{3e2802c4-a4d2-4d8b-9148-e3be6c30e623}">
          <xlrd:rvb i="3211"/>
        </ext>
      </extLst>
    </bk>
    <bk>
      <extLst>
        <ext uri="{3e2802c4-a4d2-4d8b-9148-e3be6c30e623}">
          <xlrd:rvb i="3212"/>
        </ext>
      </extLst>
    </bk>
    <bk>
      <extLst>
        <ext uri="{3e2802c4-a4d2-4d8b-9148-e3be6c30e623}">
          <xlrd:rvb i="3213"/>
        </ext>
      </extLst>
    </bk>
    <bk>
      <extLst>
        <ext uri="{3e2802c4-a4d2-4d8b-9148-e3be6c30e623}">
          <xlrd:rvb i="3214"/>
        </ext>
      </extLst>
    </bk>
    <bk>
      <extLst>
        <ext uri="{3e2802c4-a4d2-4d8b-9148-e3be6c30e623}">
          <xlrd:rvb i="3215"/>
        </ext>
      </extLst>
    </bk>
    <bk>
      <extLst>
        <ext uri="{3e2802c4-a4d2-4d8b-9148-e3be6c30e623}">
          <xlrd:rvb i="3216"/>
        </ext>
      </extLst>
    </bk>
    <bk>
      <extLst>
        <ext uri="{3e2802c4-a4d2-4d8b-9148-e3be6c30e623}">
          <xlrd:rvb i="3217"/>
        </ext>
      </extLst>
    </bk>
    <bk>
      <extLst>
        <ext uri="{3e2802c4-a4d2-4d8b-9148-e3be6c30e623}">
          <xlrd:rvb i="3218"/>
        </ext>
      </extLst>
    </bk>
    <bk>
      <extLst>
        <ext uri="{3e2802c4-a4d2-4d8b-9148-e3be6c30e623}">
          <xlrd:rvb i="3219"/>
        </ext>
      </extLst>
    </bk>
    <bk>
      <extLst>
        <ext uri="{3e2802c4-a4d2-4d8b-9148-e3be6c30e623}">
          <xlrd:rvb i="3220"/>
        </ext>
      </extLst>
    </bk>
    <bk>
      <extLst>
        <ext uri="{3e2802c4-a4d2-4d8b-9148-e3be6c30e623}">
          <xlrd:rvb i="3221"/>
        </ext>
      </extLst>
    </bk>
    <bk>
      <extLst>
        <ext uri="{3e2802c4-a4d2-4d8b-9148-e3be6c30e623}">
          <xlrd:rvb i="3222"/>
        </ext>
      </extLst>
    </bk>
  </futureMetadata>
  <cellMetadata count="1">
    <bk>
      <rc t="1" v="0"/>
    </bk>
  </cellMetadata>
  <valueMetadata count="314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bk>
      <rc t="2" v="591"/>
    </bk>
    <bk>
      <rc t="2" v="592"/>
    </bk>
    <bk>
      <rc t="2" v="593"/>
    </bk>
    <bk>
      <rc t="2" v="594"/>
    </bk>
    <bk>
      <rc t="2" v="595"/>
    </bk>
    <bk>
      <rc t="2" v="596"/>
    </bk>
    <bk>
      <rc t="2" v="597"/>
    </bk>
    <bk>
      <rc t="2" v="598"/>
    </bk>
    <bk>
      <rc t="2" v="599"/>
    </bk>
    <bk>
      <rc t="2" v="600"/>
    </bk>
    <bk>
      <rc t="2" v="601"/>
    </bk>
    <bk>
      <rc t="2" v="602"/>
    </bk>
    <bk>
      <rc t="2" v="603"/>
    </bk>
    <bk>
      <rc t="2" v="604"/>
    </bk>
    <bk>
      <rc t="2" v="605"/>
    </bk>
    <bk>
      <rc t="2" v="606"/>
    </bk>
    <bk>
      <rc t="2" v="607"/>
    </bk>
    <bk>
      <rc t="2" v="608"/>
    </bk>
    <bk>
      <rc t="2" v="609"/>
    </bk>
    <bk>
      <rc t="2" v="610"/>
    </bk>
    <bk>
      <rc t="2" v="611"/>
    </bk>
    <bk>
      <rc t="2" v="612"/>
    </bk>
    <bk>
      <rc t="2" v="613"/>
    </bk>
    <bk>
      <rc t="2" v="614"/>
    </bk>
    <bk>
      <rc t="2" v="615"/>
    </bk>
    <bk>
      <rc t="2" v="616"/>
    </bk>
    <bk>
      <rc t="2" v="617"/>
    </bk>
    <bk>
      <rc t="2" v="618"/>
    </bk>
    <bk>
      <rc t="2" v="619"/>
    </bk>
    <bk>
      <rc t="2" v="620"/>
    </bk>
    <bk>
      <rc t="2" v="621"/>
    </bk>
    <bk>
      <rc t="2" v="622"/>
    </bk>
    <bk>
      <rc t="2" v="623"/>
    </bk>
    <bk>
      <rc t="2" v="624"/>
    </bk>
    <bk>
      <rc t="2" v="625"/>
    </bk>
    <bk>
      <rc t="2" v="626"/>
    </bk>
    <bk>
      <rc t="2" v="627"/>
    </bk>
    <bk>
      <rc t="2" v="628"/>
    </bk>
    <bk>
      <rc t="2" v="629"/>
    </bk>
    <bk>
      <rc t="2" v="630"/>
    </bk>
    <bk>
      <rc t="2" v="631"/>
    </bk>
    <bk>
      <rc t="2" v="632"/>
    </bk>
    <bk>
      <rc t="2" v="633"/>
    </bk>
    <bk>
      <rc t="2" v="634"/>
    </bk>
    <bk>
      <rc t="2" v="635"/>
    </bk>
    <bk>
      <rc t="2" v="636"/>
    </bk>
    <bk>
      <rc t="2" v="637"/>
    </bk>
    <bk>
      <rc t="2" v="638"/>
    </bk>
    <bk>
      <rc t="2" v="639"/>
    </bk>
    <bk>
      <rc t="2" v="640"/>
    </bk>
    <bk>
      <rc t="2" v="641"/>
    </bk>
    <bk>
      <rc t="2" v="642"/>
    </bk>
    <bk>
      <rc t="2" v="643"/>
    </bk>
    <bk>
      <rc t="2" v="644"/>
    </bk>
    <bk>
      <rc t="2" v="645"/>
    </bk>
    <bk>
      <rc t="2" v="646"/>
    </bk>
    <bk>
      <rc t="2" v="647"/>
    </bk>
    <bk>
      <rc t="2" v="648"/>
    </bk>
    <bk>
      <rc t="2" v="649"/>
    </bk>
    <bk>
      <rc t="2" v="650"/>
    </bk>
    <bk>
      <rc t="2" v="651"/>
    </bk>
    <bk>
      <rc t="2" v="652"/>
    </bk>
    <bk>
      <rc t="2" v="653"/>
    </bk>
    <bk>
      <rc t="2" v="654"/>
    </bk>
    <bk>
      <rc t="2" v="655"/>
    </bk>
    <bk>
      <rc t="2" v="656"/>
    </bk>
    <bk>
      <rc t="2" v="657"/>
    </bk>
    <bk>
      <rc t="2" v="658"/>
    </bk>
    <bk>
      <rc t="2" v="659"/>
    </bk>
    <bk>
      <rc t="2" v="660"/>
    </bk>
    <bk>
      <rc t="2" v="661"/>
    </bk>
    <bk>
      <rc t="2" v="662"/>
    </bk>
    <bk>
      <rc t="2" v="663"/>
    </bk>
    <bk>
      <rc t="2" v="664"/>
    </bk>
    <bk>
      <rc t="2" v="665"/>
    </bk>
    <bk>
      <rc t="2" v="666"/>
    </bk>
    <bk>
      <rc t="2" v="667"/>
    </bk>
    <bk>
      <rc t="2" v="668"/>
    </bk>
    <bk>
      <rc t="2" v="669"/>
    </bk>
    <bk>
      <rc t="2" v="670"/>
    </bk>
    <bk>
      <rc t="2" v="671"/>
    </bk>
    <bk>
      <rc t="2" v="672"/>
    </bk>
    <bk>
      <rc t="2" v="673"/>
    </bk>
    <bk>
      <rc t="2" v="674"/>
    </bk>
    <bk>
      <rc t="2" v="675"/>
    </bk>
    <bk>
      <rc t="2" v="676"/>
    </bk>
    <bk>
      <rc t="2" v="677"/>
    </bk>
    <bk>
      <rc t="2" v="678"/>
    </bk>
    <bk>
      <rc t="2" v="679"/>
    </bk>
    <bk>
      <rc t="2" v="680"/>
    </bk>
    <bk>
      <rc t="2" v="681"/>
    </bk>
    <bk>
      <rc t="2" v="682"/>
    </bk>
    <bk>
      <rc t="2" v="683"/>
    </bk>
    <bk>
      <rc t="2" v="684"/>
    </bk>
    <bk>
      <rc t="2" v="685"/>
    </bk>
    <bk>
      <rc t="2" v="686"/>
    </bk>
    <bk>
      <rc t="2" v="687"/>
    </bk>
    <bk>
      <rc t="2" v="688"/>
    </bk>
    <bk>
      <rc t="2" v="689"/>
    </bk>
    <bk>
      <rc t="2" v="690"/>
    </bk>
    <bk>
      <rc t="2" v="691"/>
    </bk>
    <bk>
      <rc t="2" v="692"/>
    </bk>
    <bk>
      <rc t="2" v="693"/>
    </bk>
    <bk>
      <rc t="2" v="694"/>
    </bk>
    <bk>
      <rc t="2" v="695"/>
    </bk>
    <bk>
      <rc t="2" v="696"/>
    </bk>
    <bk>
      <rc t="2" v="697"/>
    </bk>
    <bk>
      <rc t="2" v="698"/>
    </bk>
    <bk>
      <rc t="2" v="699"/>
    </bk>
    <bk>
      <rc t="2" v="700"/>
    </bk>
    <bk>
      <rc t="2" v="701"/>
    </bk>
    <bk>
      <rc t="2" v="702"/>
    </bk>
    <bk>
      <rc t="2" v="703"/>
    </bk>
    <bk>
      <rc t="2" v="704"/>
    </bk>
    <bk>
      <rc t="2" v="705"/>
    </bk>
    <bk>
      <rc t="2" v="706"/>
    </bk>
    <bk>
      <rc t="2" v="707"/>
    </bk>
    <bk>
      <rc t="2" v="708"/>
    </bk>
    <bk>
      <rc t="2" v="709"/>
    </bk>
    <bk>
      <rc t="2" v="710"/>
    </bk>
    <bk>
      <rc t="2" v="711"/>
    </bk>
    <bk>
      <rc t="2" v="712"/>
    </bk>
    <bk>
      <rc t="2" v="713"/>
    </bk>
    <bk>
      <rc t="2" v="714"/>
    </bk>
    <bk>
      <rc t="2" v="715"/>
    </bk>
    <bk>
      <rc t="2" v="716"/>
    </bk>
    <bk>
      <rc t="2" v="717"/>
    </bk>
    <bk>
      <rc t="2" v="718"/>
    </bk>
    <bk>
      <rc t="2" v="719"/>
    </bk>
    <bk>
      <rc t="2" v="720"/>
    </bk>
    <bk>
      <rc t="2" v="721"/>
    </bk>
    <bk>
      <rc t="2" v="722"/>
    </bk>
    <bk>
      <rc t="2" v="723"/>
    </bk>
    <bk>
      <rc t="2" v="724"/>
    </bk>
    <bk>
      <rc t="2" v="725"/>
    </bk>
    <bk>
      <rc t="2" v="726"/>
    </bk>
    <bk>
      <rc t="2" v="727"/>
    </bk>
    <bk>
      <rc t="2" v="728"/>
    </bk>
    <bk>
      <rc t="2" v="729"/>
    </bk>
    <bk>
      <rc t="2" v="730"/>
    </bk>
    <bk>
      <rc t="2" v="731"/>
    </bk>
    <bk>
      <rc t="2" v="732"/>
    </bk>
    <bk>
      <rc t="2" v="733"/>
    </bk>
    <bk>
      <rc t="2" v="734"/>
    </bk>
    <bk>
      <rc t="2" v="735"/>
    </bk>
    <bk>
      <rc t="2" v="736"/>
    </bk>
    <bk>
      <rc t="2" v="737"/>
    </bk>
    <bk>
      <rc t="2" v="738"/>
    </bk>
    <bk>
      <rc t="2" v="739"/>
    </bk>
    <bk>
      <rc t="2" v="740"/>
    </bk>
    <bk>
      <rc t="2" v="741"/>
    </bk>
    <bk>
      <rc t="2" v="742"/>
    </bk>
    <bk>
      <rc t="2" v="743"/>
    </bk>
    <bk>
      <rc t="2" v="744"/>
    </bk>
    <bk>
      <rc t="2" v="745"/>
    </bk>
    <bk>
      <rc t="2" v="746"/>
    </bk>
    <bk>
      <rc t="2" v="747"/>
    </bk>
    <bk>
      <rc t="2" v="748"/>
    </bk>
    <bk>
      <rc t="2" v="749"/>
    </bk>
    <bk>
      <rc t="2" v="750"/>
    </bk>
    <bk>
      <rc t="2" v="751"/>
    </bk>
    <bk>
      <rc t="2" v="752"/>
    </bk>
    <bk>
      <rc t="2" v="753"/>
    </bk>
    <bk>
      <rc t="2" v="754"/>
    </bk>
    <bk>
      <rc t="2" v="755"/>
    </bk>
    <bk>
      <rc t="2" v="756"/>
    </bk>
    <bk>
      <rc t="2" v="757"/>
    </bk>
    <bk>
      <rc t="2" v="758"/>
    </bk>
    <bk>
      <rc t="2" v="759"/>
    </bk>
    <bk>
      <rc t="2" v="760"/>
    </bk>
    <bk>
      <rc t="2" v="761"/>
    </bk>
    <bk>
      <rc t="2" v="762"/>
    </bk>
    <bk>
      <rc t="2" v="763"/>
    </bk>
    <bk>
      <rc t="2" v="764"/>
    </bk>
    <bk>
      <rc t="2" v="765"/>
    </bk>
    <bk>
      <rc t="2" v="766"/>
    </bk>
    <bk>
      <rc t="2" v="767"/>
    </bk>
    <bk>
      <rc t="2" v="768"/>
    </bk>
    <bk>
      <rc t="2" v="769"/>
    </bk>
    <bk>
      <rc t="2" v="770"/>
    </bk>
    <bk>
      <rc t="2" v="771"/>
    </bk>
    <bk>
      <rc t="2" v="772"/>
    </bk>
    <bk>
      <rc t="2" v="773"/>
    </bk>
    <bk>
      <rc t="2" v="774"/>
    </bk>
    <bk>
      <rc t="2" v="775"/>
    </bk>
    <bk>
      <rc t="2" v="776"/>
    </bk>
    <bk>
      <rc t="2" v="777"/>
    </bk>
    <bk>
      <rc t="2" v="778"/>
    </bk>
    <bk>
      <rc t="2" v="779"/>
    </bk>
    <bk>
      <rc t="2" v="780"/>
    </bk>
    <bk>
      <rc t="2" v="781"/>
    </bk>
    <bk>
      <rc t="2" v="782"/>
    </bk>
    <bk>
      <rc t="2" v="783"/>
    </bk>
    <bk>
      <rc t="2" v="784"/>
    </bk>
    <bk>
      <rc t="2" v="785"/>
    </bk>
    <bk>
      <rc t="2" v="786"/>
    </bk>
    <bk>
      <rc t="2" v="787"/>
    </bk>
    <bk>
      <rc t="2" v="788"/>
    </bk>
    <bk>
      <rc t="2" v="789"/>
    </bk>
    <bk>
      <rc t="2" v="790"/>
    </bk>
    <bk>
      <rc t="2" v="791"/>
    </bk>
    <bk>
      <rc t="2" v="792"/>
    </bk>
    <bk>
      <rc t="2" v="793"/>
    </bk>
    <bk>
      <rc t="2" v="794"/>
    </bk>
    <bk>
      <rc t="2" v="795"/>
    </bk>
    <bk>
      <rc t="2" v="796"/>
    </bk>
    <bk>
      <rc t="2" v="797"/>
    </bk>
    <bk>
      <rc t="2" v="798"/>
    </bk>
    <bk>
      <rc t="2" v="799"/>
    </bk>
    <bk>
      <rc t="2" v="800"/>
    </bk>
    <bk>
      <rc t="2" v="801"/>
    </bk>
    <bk>
      <rc t="2" v="802"/>
    </bk>
    <bk>
      <rc t="2" v="803"/>
    </bk>
    <bk>
      <rc t="2" v="804"/>
    </bk>
    <bk>
      <rc t="2" v="805"/>
    </bk>
    <bk>
      <rc t="2" v="806"/>
    </bk>
    <bk>
      <rc t="2" v="807"/>
    </bk>
    <bk>
      <rc t="2" v="808"/>
    </bk>
    <bk>
      <rc t="2" v="809"/>
    </bk>
    <bk>
      <rc t="2" v="810"/>
    </bk>
    <bk>
      <rc t="2" v="811"/>
    </bk>
    <bk>
      <rc t="2" v="812"/>
    </bk>
    <bk>
      <rc t="2" v="813"/>
    </bk>
    <bk>
      <rc t="2" v="814"/>
    </bk>
    <bk>
      <rc t="2" v="815"/>
    </bk>
    <bk>
      <rc t="2" v="816"/>
    </bk>
    <bk>
      <rc t="2" v="817"/>
    </bk>
    <bk>
      <rc t="2" v="818"/>
    </bk>
    <bk>
      <rc t="2" v="819"/>
    </bk>
    <bk>
      <rc t="2" v="820"/>
    </bk>
    <bk>
      <rc t="2" v="821"/>
    </bk>
    <bk>
      <rc t="2" v="822"/>
    </bk>
    <bk>
      <rc t="2" v="823"/>
    </bk>
    <bk>
      <rc t="2" v="824"/>
    </bk>
    <bk>
      <rc t="2" v="825"/>
    </bk>
    <bk>
      <rc t="2" v="826"/>
    </bk>
    <bk>
      <rc t="2" v="827"/>
    </bk>
    <bk>
      <rc t="2" v="828"/>
    </bk>
    <bk>
      <rc t="2" v="829"/>
    </bk>
    <bk>
      <rc t="2" v="830"/>
    </bk>
    <bk>
      <rc t="2" v="831"/>
    </bk>
    <bk>
      <rc t="2" v="832"/>
    </bk>
    <bk>
      <rc t="2" v="833"/>
    </bk>
    <bk>
      <rc t="2" v="834"/>
    </bk>
    <bk>
      <rc t="2" v="835"/>
    </bk>
    <bk>
      <rc t="2" v="836"/>
    </bk>
    <bk>
      <rc t="2" v="837"/>
    </bk>
    <bk>
      <rc t="2" v="838"/>
    </bk>
    <bk>
      <rc t="2" v="839"/>
    </bk>
    <bk>
      <rc t="2" v="840"/>
    </bk>
    <bk>
      <rc t="2" v="841"/>
    </bk>
    <bk>
      <rc t="2" v="842"/>
    </bk>
    <bk>
      <rc t="2" v="843"/>
    </bk>
    <bk>
      <rc t="2" v="844"/>
    </bk>
    <bk>
      <rc t="2" v="845"/>
    </bk>
    <bk>
      <rc t="2" v="846"/>
    </bk>
    <bk>
      <rc t="2" v="847"/>
    </bk>
    <bk>
      <rc t="2" v="848"/>
    </bk>
    <bk>
      <rc t="2" v="849"/>
    </bk>
    <bk>
      <rc t="2" v="850"/>
    </bk>
    <bk>
      <rc t="2" v="851"/>
    </bk>
    <bk>
      <rc t="2" v="852"/>
    </bk>
    <bk>
      <rc t="2" v="853"/>
    </bk>
    <bk>
      <rc t="2" v="854"/>
    </bk>
    <bk>
      <rc t="2" v="855"/>
    </bk>
    <bk>
      <rc t="2" v="856"/>
    </bk>
    <bk>
      <rc t="2" v="857"/>
    </bk>
    <bk>
      <rc t="2" v="858"/>
    </bk>
    <bk>
      <rc t="2" v="859"/>
    </bk>
    <bk>
      <rc t="2" v="860"/>
    </bk>
    <bk>
      <rc t="2" v="861"/>
    </bk>
    <bk>
      <rc t="2" v="862"/>
    </bk>
    <bk>
      <rc t="2" v="863"/>
    </bk>
    <bk>
      <rc t="2" v="864"/>
    </bk>
    <bk>
      <rc t="2" v="865"/>
    </bk>
    <bk>
      <rc t="2" v="866"/>
    </bk>
    <bk>
      <rc t="2" v="867"/>
    </bk>
    <bk>
      <rc t="2" v="868"/>
    </bk>
    <bk>
      <rc t="2" v="869"/>
    </bk>
    <bk>
      <rc t="2" v="870"/>
    </bk>
    <bk>
      <rc t="2" v="871"/>
    </bk>
    <bk>
      <rc t="2" v="872"/>
    </bk>
    <bk>
      <rc t="2" v="873"/>
    </bk>
    <bk>
      <rc t="2" v="874"/>
    </bk>
    <bk>
      <rc t="2" v="875"/>
    </bk>
    <bk>
      <rc t="2" v="876"/>
    </bk>
    <bk>
      <rc t="2" v="877"/>
    </bk>
    <bk>
      <rc t="2" v="878"/>
    </bk>
    <bk>
      <rc t="2" v="879"/>
    </bk>
    <bk>
      <rc t="2" v="880"/>
    </bk>
    <bk>
      <rc t="2" v="881"/>
    </bk>
    <bk>
      <rc t="2" v="882"/>
    </bk>
    <bk>
      <rc t="2" v="883"/>
    </bk>
    <bk>
      <rc t="2" v="884"/>
    </bk>
    <bk>
      <rc t="2" v="885"/>
    </bk>
    <bk>
      <rc t="2" v="886"/>
    </bk>
    <bk>
      <rc t="2" v="887"/>
    </bk>
    <bk>
      <rc t="2" v="888"/>
    </bk>
    <bk>
      <rc t="2" v="889"/>
    </bk>
    <bk>
      <rc t="2" v="890"/>
    </bk>
    <bk>
      <rc t="2" v="891"/>
    </bk>
    <bk>
      <rc t="2" v="892"/>
    </bk>
    <bk>
      <rc t="2" v="893"/>
    </bk>
    <bk>
      <rc t="2" v="894"/>
    </bk>
    <bk>
      <rc t="2" v="895"/>
    </bk>
    <bk>
      <rc t="2" v="896"/>
    </bk>
    <bk>
      <rc t="2" v="897"/>
    </bk>
    <bk>
      <rc t="2" v="898"/>
    </bk>
    <bk>
      <rc t="2" v="899"/>
    </bk>
    <bk>
      <rc t="2" v="900"/>
    </bk>
    <bk>
      <rc t="2" v="901"/>
    </bk>
    <bk>
      <rc t="2" v="902"/>
    </bk>
    <bk>
      <rc t="2" v="903"/>
    </bk>
    <bk>
      <rc t="2" v="904"/>
    </bk>
    <bk>
      <rc t="2" v="905"/>
    </bk>
    <bk>
      <rc t="2" v="906"/>
    </bk>
    <bk>
      <rc t="2" v="907"/>
    </bk>
    <bk>
      <rc t="2" v="908"/>
    </bk>
    <bk>
      <rc t="2" v="909"/>
    </bk>
    <bk>
      <rc t="2" v="910"/>
    </bk>
    <bk>
      <rc t="2" v="911"/>
    </bk>
    <bk>
      <rc t="2" v="912"/>
    </bk>
    <bk>
      <rc t="2" v="913"/>
    </bk>
    <bk>
      <rc t="2" v="914"/>
    </bk>
    <bk>
      <rc t="2" v="915"/>
    </bk>
    <bk>
      <rc t="2" v="916"/>
    </bk>
    <bk>
      <rc t="2" v="917"/>
    </bk>
    <bk>
      <rc t="2" v="918"/>
    </bk>
    <bk>
      <rc t="2" v="919"/>
    </bk>
    <bk>
      <rc t="2" v="920"/>
    </bk>
    <bk>
      <rc t="2" v="921"/>
    </bk>
    <bk>
      <rc t="2" v="922"/>
    </bk>
    <bk>
      <rc t="2" v="923"/>
    </bk>
    <bk>
      <rc t="2" v="924"/>
    </bk>
    <bk>
      <rc t="2" v="925"/>
    </bk>
    <bk>
      <rc t="2" v="926"/>
    </bk>
    <bk>
      <rc t="2" v="927"/>
    </bk>
    <bk>
      <rc t="2" v="928"/>
    </bk>
    <bk>
      <rc t="2" v="929"/>
    </bk>
    <bk>
      <rc t="2" v="930"/>
    </bk>
    <bk>
      <rc t="2" v="931"/>
    </bk>
    <bk>
      <rc t="2" v="932"/>
    </bk>
    <bk>
      <rc t="2" v="933"/>
    </bk>
    <bk>
      <rc t="2" v="934"/>
    </bk>
    <bk>
      <rc t="2" v="935"/>
    </bk>
    <bk>
      <rc t="2" v="936"/>
    </bk>
    <bk>
      <rc t="2" v="937"/>
    </bk>
    <bk>
      <rc t="2" v="938"/>
    </bk>
    <bk>
      <rc t="2" v="939"/>
    </bk>
    <bk>
      <rc t="2" v="940"/>
    </bk>
    <bk>
      <rc t="2" v="941"/>
    </bk>
    <bk>
      <rc t="2" v="942"/>
    </bk>
    <bk>
      <rc t="2" v="943"/>
    </bk>
    <bk>
      <rc t="2" v="944"/>
    </bk>
    <bk>
      <rc t="2" v="945"/>
    </bk>
    <bk>
      <rc t="2" v="946"/>
    </bk>
    <bk>
      <rc t="2" v="947"/>
    </bk>
    <bk>
      <rc t="2" v="948"/>
    </bk>
    <bk>
      <rc t="2" v="949"/>
    </bk>
    <bk>
      <rc t="2" v="950"/>
    </bk>
    <bk>
      <rc t="2" v="951"/>
    </bk>
    <bk>
      <rc t="2" v="952"/>
    </bk>
    <bk>
      <rc t="2" v="953"/>
    </bk>
    <bk>
      <rc t="2" v="954"/>
    </bk>
    <bk>
      <rc t="2" v="955"/>
    </bk>
    <bk>
      <rc t="2" v="956"/>
    </bk>
    <bk>
      <rc t="2" v="957"/>
    </bk>
    <bk>
      <rc t="2" v="958"/>
    </bk>
    <bk>
      <rc t="2" v="959"/>
    </bk>
    <bk>
      <rc t="2" v="960"/>
    </bk>
    <bk>
      <rc t="2" v="961"/>
    </bk>
    <bk>
      <rc t="2" v="962"/>
    </bk>
    <bk>
      <rc t="2" v="963"/>
    </bk>
    <bk>
      <rc t="2" v="964"/>
    </bk>
    <bk>
      <rc t="2" v="965"/>
    </bk>
    <bk>
      <rc t="2" v="966"/>
    </bk>
    <bk>
      <rc t="2" v="967"/>
    </bk>
    <bk>
      <rc t="2" v="968"/>
    </bk>
    <bk>
      <rc t="2" v="969"/>
    </bk>
    <bk>
      <rc t="2" v="970"/>
    </bk>
    <bk>
      <rc t="2" v="971"/>
    </bk>
    <bk>
      <rc t="2" v="972"/>
    </bk>
    <bk>
      <rc t="2" v="973"/>
    </bk>
    <bk>
      <rc t="2" v="974"/>
    </bk>
    <bk>
      <rc t="2" v="975"/>
    </bk>
    <bk>
      <rc t="2" v="976"/>
    </bk>
    <bk>
      <rc t="2" v="977"/>
    </bk>
    <bk>
      <rc t="2" v="978"/>
    </bk>
    <bk>
      <rc t="2" v="979"/>
    </bk>
    <bk>
      <rc t="2" v="980"/>
    </bk>
    <bk>
      <rc t="2" v="981"/>
    </bk>
    <bk>
      <rc t="2" v="982"/>
    </bk>
    <bk>
      <rc t="2" v="983"/>
    </bk>
    <bk>
      <rc t="2" v="984"/>
    </bk>
    <bk>
      <rc t="2" v="985"/>
    </bk>
    <bk>
      <rc t="2" v="986"/>
    </bk>
    <bk>
      <rc t="2" v="987"/>
    </bk>
    <bk>
      <rc t="2" v="988"/>
    </bk>
    <bk>
      <rc t="2" v="989"/>
    </bk>
    <bk>
      <rc t="2" v="990"/>
    </bk>
    <bk>
      <rc t="2" v="991"/>
    </bk>
    <bk>
      <rc t="2" v="992"/>
    </bk>
    <bk>
      <rc t="2" v="993"/>
    </bk>
    <bk>
      <rc t="2" v="994"/>
    </bk>
    <bk>
      <rc t="2" v="995"/>
    </bk>
    <bk>
      <rc t="2" v="996"/>
    </bk>
    <bk>
      <rc t="2" v="997"/>
    </bk>
    <bk>
      <rc t="2" v="998"/>
    </bk>
    <bk>
      <rc t="2" v="999"/>
    </bk>
    <bk>
      <rc t="2" v="1000"/>
    </bk>
    <bk>
      <rc t="2" v="1001"/>
    </bk>
    <bk>
      <rc t="2" v="1002"/>
    </bk>
    <bk>
      <rc t="2" v="1003"/>
    </bk>
    <bk>
      <rc t="2" v="1004"/>
    </bk>
    <bk>
      <rc t="2" v="1005"/>
    </bk>
    <bk>
      <rc t="2" v="1006"/>
    </bk>
    <bk>
      <rc t="2" v="1007"/>
    </bk>
    <bk>
      <rc t="2" v="1008"/>
    </bk>
    <bk>
      <rc t="2" v="1009"/>
    </bk>
    <bk>
      <rc t="2" v="1010"/>
    </bk>
    <bk>
      <rc t="2" v="1011"/>
    </bk>
    <bk>
      <rc t="2" v="1012"/>
    </bk>
    <bk>
      <rc t="2" v="1013"/>
    </bk>
    <bk>
      <rc t="2" v="1014"/>
    </bk>
    <bk>
      <rc t="2" v="1015"/>
    </bk>
    <bk>
      <rc t="2" v="1016"/>
    </bk>
    <bk>
      <rc t="2" v="1017"/>
    </bk>
    <bk>
      <rc t="2" v="1018"/>
    </bk>
    <bk>
      <rc t="2" v="1019"/>
    </bk>
    <bk>
      <rc t="2" v="1020"/>
    </bk>
    <bk>
      <rc t="2" v="1021"/>
    </bk>
    <bk>
      <rc t="2" v="1022"/>
    </bk>
    <bk>
      <rc t="2" v="1023"/>
    </bk>
    <bk>
      <rc t="2" v="1024"/>
    </bk>
    <bk>
      <rc t="2" v="1025"/>
    </bk>
    <bk>
      <rc t="2" v="1026"/>
    </bk>
    <bk>
      <rc t="2" v="1027"/>
    </bk>
    <bk>
      <rc t="2" v="1028"/>
    </bk>
    <bk>
      <rc t="2" v="1029"/>
    </bk>
    <bk>
      <rc t="2" v="1030"/>
    </bk>
    <bk>
      <rc t="2" v="1031"/>
    </bk>
    <bk>
      <rc t="2" v="1032"/>
    </bk>
    <bk>
      <rc t="2" v="1033"/>
    </bk>
    <bk>
      <rc t="2" v="1034"/>
    </bk>
    <bk>
      <rc t="2" v="1035"/>
    </bk>
    <bk>
      <rc t="2" v="1036"/>
    </bk>
    <bk>
      <rc t="2" v="1037"/>
    </bk>
    <bk>
      <rc t="2" v="1038"/>
    </bk>
    <bk>
      <rc t="2" v="1039"/>
    </bk>
    <bk>
      <rc t="2" v="1040"/>
    </bk>
    <bk>
      <rc t="2" v="1041"/>
    </bk>
    <bk>
      <rc t="2" v="1042"/>
    </bk>
    <bk>
      <rc t="2" v="1043"/>
    </bk>
    <bk>
      <rc t="2" v="1044"/>
    </bk>
    <bk>
      <rc t="2" v="1045"/>
    </bk>
    <bk>
      <rc t="2" v="1046"/>
    </bk>
    <bk>
      <rc t="2" v="1047"/>
    </bk>
    <bk>
      <rc t="2" v="1048"/>
    </bk>
    <bk>
      <rc t="2" v="1049"/>
    </bk>
    <bk>
      <rc t="2" v="1050"/>
    </bk>
    <bk>
      <rc t="2" v="1051"/>
    </bk>
    <bk>
      <rc t="2" v="1052"/>
    </bk>
    <bk>
      <rc t="2" v="1053"/>
    </bk>
    <bk>
      <rc t="2" v="1054"/>
    </bk>
    <bk>
      <rc t="2" v="1055"/>
    </bk>
    <bk>
      <rc t="2" v="1056"/>
    </bk>
    <bk>
      <rc t="2" v="1057"/>
    </bk>
    <bk>
      <rc t="2" v="1058"/>
    </bk>
    <bk>
      <rc t="2" v="1059"/>
    </bk>
    <bk>
      <rc t="2" v="1060"/>
    </bk>
    <bk>
      <rc t="2" v="1061"/>
    </bk>
    <bk>
      <rc t="2" v="1062"/>
    </bk>
    <bk>
      <rc t="2" v="1063"/>
    </bk>
    <bk>
      <rc t="2" v="1064"/>
    </bk>
    <bk>
      <rc t="2" v="1065"/>
    </bk>
    <bk>
      <rc t="2" v="1066"/>
    </bk>
    <bk>
      <rc t="2" v="1067"/>
    </bk>
    <bk>
      <rc t="2" v="1068"/>
    </bk>
    <bk>
      <rc t="2" v="1069"/>
    </bk>
    <bk>
      <rc t="2" v="1070"/>
    </bk>
    <bk>
      <rc t="2" v="1071"/>
    </bk>
    <bk>
      <rc t="2" v="1072"/>
    </bk>
    <bk>
      <rc t="2" v="1073"/>
    </bk>
    <bk>
      <rc t="2" v="1074"/>
    </bk>
    <bk>
      <rc t="2" v="1075"/>
    </bk>
    <bk>
      <rc t="2" v="1076"/>
    </bk>
    <bk>
      <rc t="2" v="1077"/>
    </bk>
    <bk>
      <rc t="2" v="1078"/>
    </bk>
    <bk>
      <rc t="2" v="1079"/>
    </bk>
    <bk>
      <rc t="2" v="1080"/>
    </bk>
    <bk>
      <rc t="2" v="1081"/>
    </bk>
    <bk>
      <rc t="2" v="1082"/>
    </bk>
    <bk>
      <rc t="2" v="1083"/>
    </bk>
    <bk>
      <rc t="2" v="1084"/>
    </bk>
    <bk>
      <rc t="2" v="1085"/>
    </bk>
    <bk>
      <rc t="2" v="1086"/>
    </bk>
    <bk>
      <rc t="2" v="1087"/>
    </bk>
    <bk>
      <rc t="2" v="1088"/>
    </bk>
    <bk>
      <rc t="2" v="1089"/>
    </bk>
    <bk>
      <rc t="2" v="1090"/>
    </bk>
    <bk>
      <rc t="2" v="1091"/>
    </bk>
    <bk>
      <rc t="2" v="1092"/>
    </bk>
    <bk>
      <rc t="2" v="1093"/>
    </bk>
    <bk>
      <rc t="2" v="1094"/>
    </bk>
    <bk>
      <rc t="2" v="1095"/>
    </bk>
    <bk>
      <rc t="2" v="1096"/>
    </bk>
    <bk>
      <rc t="2" v="1097"/>
    </bk>
    <bk>
      <rc t="2" v="1098"/>
    </bk>
    <bk>
      <rc t="2" v="1099"/>
    </bk>
    <bk>
      <rc t="2" v="1100"/>
    </bk>
    <bk>
      <rc t="2" v="1101"/>
    </bk>
    <bk>
      <rc t="2" v="1102"/>
    </bk>
    <bk>
      <rc t="2" v="1103"/>
    </bk>
    <bk>
      <rc t="2" v="1104"/>
    </bk>
    <bk>
      <rc t="2" v="1105"/>
    </bk>
    <bk>
      <rc t="2" v="1106"/>
    </bk>
    <bk>
      <rc t="2" v="1107"/>
    </bk>
    <bk>
      <rc t="2" v="1108"/>
    </bk>
    <bk>
      <rc t="2" v="1109"/>
    </bk>
    <bk>
      <rc t="2" v="1110"/>
    </bk>
    <bk>
      <rc t="2" v="1111"/>
    </bk>
    <bk>
      <rc t="2" v="1112"/>
    </bk>
    <bk>
      <rc t="2" v="1113"/>
    </bk>
    <bk>
      <rc t="2" v="1114"/>
    </bk>
    <bk>
      <rc t="2" v="1115"/>
    </bk>
    <bk>
      <rc t="2" v="1116"/>
    </bk>
    <bk>
      <rc t="2" v="1117"/>
    </bk>
    <bk>
      <rc t="2" v="1118"/>
    </bk>
    <bk>
      <rc t="2" v="1119"/>
    </bk>
    <bk>
      <rc t="2" v="1120"/>
    </bk>
    <bk>
      <rc t="2" v="1121"/>
    </bk>
    <bk>
      <rc t="2" v="1122"/>
    </bk>
    <bk>
      <rc t="2" v="1123"/>
    </bk>
    <bk>
      <rc t="2" v="1124"/>
    </bk>
    <bk>
      <rc t="2" v="1125"/>
    </bk>
    <bk>
      <rc t="2" v="1126"/>
    </bk>
    <bk>
      <rc t="2" v="1127"/>
    </bk>
    <bk>
      <rc t="2" v="1128"/>
    </bk>
    <bk>
      <rc t="2" v="1129"/>
    </bk>
    <bk>
      <rc t="2" v="1130"/>
    </bk>
    <bk>
      <rc t="2" v="1131"/>
    </bk>
    <bk>
      <rc t="2" v="1132"/>
    </bk>
    <bk>
      <rc t="2" v="1133"/>
    </bk>
    <bk>
      <rc t="2" v="1134"/>
    </bk>
    <bk>
      <rc t="2" v="1135"/>
    </bk>
    <bk>
      <rc t="2" v="1136"/>
    </bk>
    <bk>
      <rc t="2" v="1137"/>
    </bk>
    <bk>
      <rc t="2" v="1138"/>
    </bk>
    <bk>
      <rc t="2" v="1139"/>
    </bk>
    <bk>
      <rc t="2" v="1140"/>
    </bk>
    <bk>
      <rc t="2" v="1141"/>
    </bk>
    <bk>
      <rc t="2" v="1142"/>
    </bk>
    <bk>
      <rc t="2" v="1143"/>
    </bk>
    <bk>
      <rc t="2" v="1144"/>
    </bk>
    <bk>
      <rc t="2" v="1145"/>
    </bk>
    <bk>
      <rc t="2" v="1146"/>
    </bk>
    <bk>
      <rc t="2" v="1147"/>
    </bk>
    <bk>
      <rc t="2" v="1148"/>
    </bk>
    <bk>
      <rc t="2" v="1149"/>
    </bk>
    <bk>
      <rc t="2" v="1150"/>
    </bk>
    <bk>
      <rc t="2" v="1151"/>
    </bk>
    <bk>
      <rc t="2" v="1152"/>
    </bk>
    <bk>
      <rc t="2" v="1153"/>
    </bk>
    <bk>
      <rc t="2" v="1154"/>
    </bk>
    <bk>
      <rc t="2" v="1155"/>
    </bk>
    <bk>
      <rc t="2" v="1156"/>
    </bk>
    <bk>
      <rc t="2" v="1157"/>
    </bk>
    <bk>
      <rc t="2" v="1158"/>
    </bk>
    <bk>
      <rc t="2" v="1159"/>
    </bk>
    <bk>
      <rc t="2" v="1160"/>
    </bk>
    <bk>
      <rc t="2" v="1161"/>
    </bk>
    <bk>
      <rc t="2" v="1162"/>
    </bk>
    <bk>
      <rc t="2" v="1163"/>
    </bk>
    <bk>
      <rc t="2" v="1164"/>
    </bk>
    <bk>
      <rc t="2" v="1165"/>
    </bk>
    <bk>
      <rc t="2" v="1166"/>
    </bk>
    <bk>
      <rc t="2" v="1167"/>
    </bk>
    <bk>
      <rc t="2" v="1168"/>
    </bk>
    <bk>
      <rc t="2" v="1169"/>
    </bk>
    <bk>
      <rc t="2" v="1170"/>
    </bk>
    <bk>
      <rc t="2" v="1171"/>
    </bk>
    <bk>
      <rc t="2" v="1172"/>
    </bk>
    <bk>
      <rc t="2" v="1173"/>
    </bk>
    <bk>
      <rc t="2" v="1174"/>
    </bk>
    <bk>
      <rc t="2" v="1175"/>
    </bk>
    <bk>
      <rc t="2" v="1176"/>
    </bk>
    <bk>
      <rc t="2" v="1177"/>
    </bk>
    <bk>
      <rc t="2" v="1178"/>
    </bk>
    <bk>
      <rc t="2" v="1179"/>
    </bk>
    <bk>
      <rc t="2" v="1180"/>
    </bk>
    <bk>
      <rc t="2" v="1181"/>
    </bk>
    <bk>
      <rc t="2" v="1182"/>
    </bk>
    <bk>
      <rc t="2" v="1183"/>
    </bk>
    <bk>
      <rc t="2" v="1184"/>
    </bk>
    <bk>
      <rc t="2" v="1185"/>
    </bk>
    <bk>
      <rc t="2" v="1186"/>
    </bk>
    <bk>
      <rc t="2" v="1187"/>
    </bk>
    <bk>
      <rc t="2" v="1188"/>
    </bk>
    <bk>
      <rc t="2" v="1189"/>
    </bk>
    <bk>
      <rc t="2" v="1190"/>
    </bk>
    <bk>
      <rc t="2" v="1191"/>
    </bk>
    <bk>
      <rc t="2" v="1192"/>
    </bk>
    <bk>
      <rc t="2" v="1193"/>
    </bk>
    <bk>
      <rc t="2" v="1194"/>
    </bk>
    <bk>
      <rc t="2" v="1195"/>
    </bk>
    <bk>
      <rc t="2" v="1196"/>
    </bk>
    <bk>
      <rc t="2" v="1197"/>
    </bk>
    <bk>
      <rc t="2" v="1198"/>
    </bk>
    <bk>
      <rc t="2" v="1199"/>
    </bk>
    <bk>
      <rc t="2" v="1200"/>
    </bk>
    <bk>
      <rc t="2" v="1201"/>
    </bk>
    <bk>
      <rc t="2" v="1202"/>
    </bk>
    <bk>
      <rc t="2" v="1203"/>
    </bk>
    <bk>
      <rc t="2" v="1204"/>
    </bk>
    <bk>
      <rc t="2" v="1205"/>
    </bk>
    <bk>
      <rc t="2" v="1206"/>
    </bk>
    <bk>
      <rc t="2" v="1207"/>
    </bk>
    <bk>
      <rc t="2" v="1208"/>
    </bk>
    <bk>
      <rc t="2" v="1209"/>
    </bk>
    <bk>
      <rc t="2" v="1210"/>
    </bk>
    <bk>
      <rc t="2" v="1211"/>
    </bk>
    <bk>
      <rc t="2" v="1212"/>
    </bk>
    <bk>
      <rc t="2" v="1213"/>
    </bk>
    <bk>
      <rc t="2" v="1214"/>
    </bk>
    <bk>
      <rc t="2" v="1215"/>
    </bk>
    <bk>
      <rc t="2" v="1216"/>
    </bk>
    <bk>
      <rc t="2" v="1217"/>
    </bk>
    <bk>
      <rc t="2" v="1218"/>
    </bk>
    <bk>
      <rc t="2" v="1219"/>
    </bk>
    <bk>
      <rc t="2" v="1220"/>
    </bk>
    <bk>
      <rc t="2" v="1221"/>
    </bk>
    <bk>
      <rc t="2" v="1222"/>
    </bk>
    <bk>
      <rc t="2" v="1223"/>
    </bk>
    <bk>
      <rc t="2" v="1224"/>
    </bk>
    <bk>
      <rc t="2" v="1225"/>
    </bk>
    <bk>
      <rc t="2" v="1226"/>
    </bk>
    <bk>
      <rc t="2" v="1227"/>
    </bk>
    <bk>
      <rc t="2" v="1228"/>
    </bk>
    <bk>
      <rc t="2" v="1229"/>
    </bk>
    <bk>
      <rc t="2" v="1230"/>
    </bk>
    <bk>
      <rc t="2" v="1231"/>
    </bk>
    <bk>
      <rc t="2" v="1232"/>
    </bk>
    <bk>
      <rc t="2" v="1233"/>
    </bk>
    <bk>
      <rc t="2" v="1234"/>
    </bk>
    <bk>
      <rc t="2" v="1235"/>
    </bk>
    <bk>
      <rc t="2" v="1236"/>
    </bk>
    <bk>
      <rc t="2" v="1237"/>
    </bk>
    <bk>
      <rc t="2" v="1238"/>
    </bk>
    <bk>
      <rc t="2" v="1239"/>
    </bk>
    <bk>
      <rc t="2" v="1240"/>
    </bk>
    <bk>
      <rc t="2" v="1241"/>
    </bk>
    <bk>
      <rc t="2" v="1242"/>
    </bk>
    <bk>
      <rc t="2" v="1243"/>
    </bk>
    <bk>
      <rc t="2" v="1244"/>
    </bk>
    <bk>
      <rc t="2" v="1245"/>
    </bk>
    <bk>
      <rc t="2" v="1246"/>
    </bk>
    <bk>
      <rc t="2" v="1247"/>
    </bk>
    <bk>
      <rc t="2" v="1248"/>
    </bk>
    <bk>
      <rc t="2" v="1249"/>
    </bk>
    <bk>
      <rc t="2" v="1250"/>
    </bk>
    <bk>
      <rc t="2" v="1251"/>
    </bk>
    <bk>
      <rc t="2" v="1252"/>
    </bk>
    <bk>
      <rc t="2" v="1253"/>
    </bk>
    <bk>
      <rc t="2" v="1254"/>
    </bk>
    <bk>
      <rc t="2" v="1255"/>
    </bk>
    <bk>
      <rc t="2" v="1256"/>
    </bk>
    <bk>
      <rc t="2" v="1257"/>
    </bk>
    <bk>
      <rc t="2" v="1258"/>
    </bk>
    <bk>
      <rc t="2" v="1259"/>
    </bk>
    <bk>
      <rc t="2" v="1260"/>
    </bk>
    <bk>
      <rc t="2" v="1261"/>
    </bk>
    <bk>
      <rc t="2" v="1262"/>
    </bk>
    <bk>
      <rc t="2" v="1263"/>
    </bk>
    <bk>
      <rc t="2" v="1264"/>
    </bk>
    <bk>
      <rc t="2" v="1265"/>
    </bk>
    <bk>
      <rc t="2" v="1266"/>
    </bk>
    <bk>
      <rc t="2" v="1267"/>
    </bk>
    <bk>
      <rc t="2" v="1268"/>
    </bk>
    <bk>
      <rc t="2" v="1269"/>
    </bk>
    <bk>
      <rc t="2" v="1270"/>
    </bk>
    <bk>
      <rc t="2" v="1271"/>
    </bk>
    <bk>
      <rc t="2" v="1272"/>
    </bk>
    <bk>
      <rc t="2" v="1273"/>
    </bk>
    <bk>
      <rc t="2" v="1274"/>
    </bk>
    <bk>
      <rc t="2" v="1275"/>
    </bk>
    <bk>
      <rc t="2" v="1276"/>
    </bk>
    <bk>
      <rc t="2" v="1277"/>
    </bk>
    <bk>
      <rc t="2" v="1278"/>
    </bk>
    <bk>
      <rc t="2" v="1279"/>
    </bk>
    <bk>
      <rc t="2" v="1280"/>
    </bk>
    <bk>
      <rc t="2" v="1281"/>
    </bk>
    <bk>
      <rc t="2" v="1282"/>
    </bk>
    <bk>
      <rc t="2" v="1283"/>
    </bk>
    <bk>
      <rc t="2" v="1284"/>
    </bk>
    <bk>
      <rc t="2" v="1285"/>
    </bk>
    <bk>
      <rc t="2" v="1286"/>
    </bk>
    <bk>
      <rc t="2" v="1287"/>
    </bk>
    <bk>
      <rc t="2" v="1288"/>
    </bk>
    <bk>
      <rc t="2" v="1289"/>
    </bk>
    <bk>
      <rc t="2" v="1290"/>
    </bk>
    <bk>
      <rc t="2" v="1291"/>
    </bk>
    <bk>
      <rc t="2" v="1292"/>
    </bk>
    <bk>
      <rc t="2" v="1293"/>
    </bk>
    <bk>
      <rc t="2" v="1294"/>
    </bk>
    <bk>
      <rc t="2" v="1295"/>
    </bk>
    <bk>
      <rc t="2" v="1296"/>
    </bk>
    <bk>
      <rc t="2" v="1297"/>
    </bk>
    <bk>
      <rc t="2" v="1298"/>
    </bk>
    <bk>
      <rc t="2" v="1299"/>
    </bk>
    <bk>
      <rc t="2" v="1300"/>
    </bk>
    <bk>
      <rc t="2" v="1301"/>
    </bk>
    <bk>
      <rc t="2" v="1302"/>
    </bk>
    <bk>
      <rc t="2" v="1303"/>
    </bk>
    <bk>
      <rc t="2" v="1304"/>
    </bk>
    <bk>
      <rc t="2" v="1305"/>
    </bk>
    <bk>
      <rc t="2" v="1306"/>
    </bk>
    <bk>
      <rc t="2" v="1307"/>
    </bk>
    <bk>
      <rc t="2" v="1308"/>
    </bk>
    <bk>
      <rc t="2" v="1309"/>
    </bk>
    <bk>
      <rc t="2" v="1310"/>
    </bk>
    <bk>
      <rc t="2" v="1311"/>
    </bk>
    <bk>
      <rc t="2" v="1312"/>
    </bk>
    <bk>
      <rc t="2" v="1313"/>
    </bk>
    <bk>
      <rc t="2" v="1314"/>
    </bk>
    <bk>
      <rc t="2" v="1315"/>
    </bk>
    <bk>
      <rc t="2" v="1316"/>
    </bk>
    <bk>
      <rc t="2" v="1317"/>
    </bk>
    <bk>
      <rc t="2" v="1318"/>
    </bk>
    <bk>
      <rc t="2" v="1319"/>
    </bk>
    <bk>
      <rc t="2" v="1320"/>
    </bk>
    <bk>
      <rc t="2" v="1321"/>
    </bk>
    <bk>
      <rc t="2" v="1322"/>
    </bk>
    <bk>
      <rc t="2" v="1323"/>
    </bk>
    <bk>
      <rc t="2" v="1324"/>
    </bk>
    <bk>
      <rc t="2" v="1325"/>
    </bk>
    <bk>
      <rc t="2" v="1326"/>
    </bk>
    <bk>
      <rc t="2" v="1327"/>
    </bk>
    <bk>
      <rc t="2" v="1328"/>
    </bk>
    <bk>
      <rc t="2" v="1329"/>
    </bk>
    <bk>
      <rc t="2" v="1330"/>
    </bk>
    <bk>
      <rc t="2" v="1331"/>
    </bk>
    <bk>
      <rc t="2" v="1332"/>
    </bk>
    <bk>
      <rc t="2" v="1333"/>
    </bk>
    <bk>
      <rc t="2" v="1334"/>
    </bk>
    <bk>
      <rc t="2" v="1335"/>
    </bk>
    <bk>
      <rc t="2" v="1336"/>
    </bk>
    <bk>
      <rc t="2" v="1337"/>
    </bk>
    <bk>
      <rc t="2" v="1338"/>
    </bk>
    <bk>
      <rc t="2" v="1339"/>
    </bk>
    <bk>
      <rc t="2" v="1340"/>
    </bk>
    <bk>
      <rc t="2" v="1341"/>
    </bk>
    <bk>
      <rc t="2" v="1342"/>
    </bk>
    <bk>
      <rc t="2" v="1343"/>
    </bk>
    <bk>
      <rc t="2" v="1344"/>
    </bk>
    <bk>
      <rc t="2" v="1345"/>
    </bk>
    <bk>
      <rc t="2" v="1346"/>
    </bk>
    <bk>
      <rc t="2" v="1347"/>
    </bk>
    <bk>
      <rc t="2" v="1348"/>
    </bk>
    <bk>
      <rc t="2" v="1349"/>
    </bk>
    <bk>
      <rc t="2" v="1350"/>
    </bk>
    <bk>
      <rc t="2" v="1351"/>
    </bk>
    <bk>
      <rc t="2" v="1352"/>
    </bk>
    <bk>
      <rc t="2" v="1353"/>
    </bk>
    <bk>
      <rc t="2" v="1354"/>
    </bk>
    <bk>
      <rc t="2" v="1355"/>
    </bk>
    <bk>
      <rc t="2" v="1356"/>
    </bk>
    <bk>
      <rc t="2" v="1357"/>
    </bk>
    <bk>
      <rc t="2" v="1358"/>
    </bk>
    <bk>
      <rc t="2" v="1359"/>
    </bk>
    <bk>
      <rc t="2" v="1360"/>
    </bk>
    <bk>
      <rc t="2" v="1361"/>
    </bk>
    <bk>
      <rc t="2" v="1362"/>
    </bk>
    <bk>
      <rc t="2" v="1363"/>
    </bk>
    <bk>
      <rc t="2" v="1364"/>
    </bk>
    <bk>
      <rc t="2" v="1365"/>
    </bk>
    <bk>
      <rc t="2" v="1366"/>
    </bk>
    <bk>
      <rc t="2" v="1367"/>
    </bk>
    <bk>
      <rc t="2" v="1368"/>
    </bk>
    <bk>
      <rc t="2" v="1369"/>
    </bk>
    <bk>
      <rc t="2" v="1370"/>
    </bk>
    <bk>
      <rc t="2" v="1371"/>
    </bk>
    <bk>
      <rc t="2" v="1372"/>
    </bk>
    <bk>
      <rc t="2" v="1373"/>
    </bk>
    <bk>
      <rc t="2" v="1374"/>
    </bk>
    <bk>
      <rc t="2" v="1375"/>
    </bk>
    <bk>
      <rc t="2" v="1376"/>
    </bk>
    <bk>
      <rc t="2" v="1377"/>
    </bk>
    <bk>
      <rc t="2" v="1378"/>
    </bk>
    <bk>
      <rc t="2" v="1379"/>
    </bk>
    <bk>
      <rc t="2" v="1380"/>
    </bk>
    <bk>
      <rc t="2" v="1381"/>
    </bk>
    <bk>
      <rc t="2" v="1382"/>
    </bk>
    <bk>
      <rc t="2" v="1383"/>
    </bk>
    <bk>
      <rc t="2" v="1384"/>
    </bk>
    <bk>
      <rc t="2" v="1385"/>
    </bk>
    <bk>
      <rc t="2" v="1386"/>
    </bk>
    <bk>
      <rc t="2" v="1387"/>
    </bk>
    <bk>
      <rc t="2" v="1388"/>
    </bk>
    <bk>
      <rc t="2" v="1389"/>
    </bk>
    <bk>
      <rc t="2" v="1390"/>
    </bk>
    <bk>
      <rc t="2" v="1391"/>
    </bk>
    <bk>
      <rc t="2" v="1392"/>
    </bk>
    <bk>
      <rc t="2" v="1393"/>
    </bk>
    <bk>
      <rc t="2" v="1394"/>
    </bk>
    <bk>
      <rc t="2" v="1395"/>
    </bk>
    <bk>
      <rc t="2" v="1396"/>
    </bk>
    <bk>
      <rc t="2" v="1397"/>
    </bk>
    <bk>
      <rc t="2" v="1398"/>
    </bk>
    <bk>
      <rc t="2" v="1399"/>
    </bk>
    <bk>
      <rc t="2" v="1400"/>
    </bk>
    <bk>
      <rc t="2" v="1401"/>
    </bk>
    <bk>
      <rc t="2" v="1402"/>
    </bk>
    <bk>
      <rc t="2" v="1403"/>
    </bk>
    <bk>
      <rc t="2" v="1404"/>
    </bk>
    <bk>
      <rc t="2" v="1405"/>
    </bk>
    <bk>
      <rc t="2" v="1406"/>
    </bk>
    <bk>
      <rc t="2" v="1407"/>
    </bk>
    <bk>
      <rc t="2" v="1408"/>
    </bk>
    <bk>
      <rc t="2" v="1409"/>
    </bk>
    <bk>
      <rc t="2" v="1410"/>
    </bk>
    <bk>
      <rc t="2" v="1411"/>
    </bk>
    <bk>
      <rc t="2" v="1412"/>
    </bk>
    <bk>
      <rc t="2" v="1413"/>
    </bk>
    <bk>
      <rc t="2" v="1414"/>
    </bk>
    <bk>
      <rc t="2" v="1415"/>
    </bk>
    <bk>
      <rc t="2" v="1416"/>
    </bk>
    <bk>
      <rc t="2" v="1417"/>
    </bk>
    <bk>
      <rc t="2" v="1418"/>
    </bk>
    <bk>
      <rc t="2" v="1419"/>
    </bk>
    <bk>
      <rc t="2" v="1420"/>
    </bk>
    <bk>
      <rc t="2" v="1421"/>
    </bk>
    <bk>
      <rc t="2" v="1422"/>
    </bk>
    <bk>
      <rc t="2" v="1423"/>
    </bk>
    <bk>
      <rc t="2" v="1424"/>
    </bk>
    <bk>
      <rc t="2" v="1425"/>
    </bk>
    <bk>
      <rc t="2" v="1426"/>
    </bk>
    <bk>
      <rc t="2" v="1427"/>
    </bk>
    <bk>
      <rc t="2" v="1428"/>
    </bk>
    <bk>
      <rc t="2" v="1429"/>
    </bk>
    <bk>
      <rc t="2" v="1430"/>
    </bk>
    <bk>
      <rc t="2" v="1431"/>
    </bk>
    <bk>
      <rc t="2" v="1432"/>
    </bk>
    <bk>
      <rc t="2" v="1433"/>
    </bk>
    <bk>
      <rc t="2" v="1434"/>
    </bk>
    <bk>
      <rc t="2" v="1435"/>
    </bk>
    <bk>
      <rc t="2" v="1436"/>
    </bk>
    <bk>
      <rc t="2" v="1437"/>
    </bk>
    <bk>
      <rc t="2" v="1438"/>
    </bk>
    <bk>
      <rc t="2" v="1439"/>
    </bk>
    <bk>
      <rc t="2" v="1440"/>
    </bk>
    <bk>
      <rc t="2" v="1441"/>
    </bk>
    <bk>
      <rc t="2" v="1442"/>
    </bk>
    <bk>
      <rc t="2" v="1443"/>
    </bk>
    <bk>
      <rc t="2" v="1444"/>
    </bk>
    <bk>
      <rc t="2" v="1445"/>
    </bk>
    <bk>
      <rc t="2" v="1446"/>
    </bk>
    <bk>
      <rc t="2" v="1447"/>
    </bk>
    <bk>
      <rc t="2" v="1448"/>
    </bk>
    <bk>
      <rc t="2" v="1449"/>
    </bk>
    <bk>
      <rc t="2" v="1450"/>
    </bk>
    <bk>
      <rc t="2" v="1451"/>
    </bk>
    <bk>
      <rc t="2" v="1452"/>
    </bk>
    <bk>
      <rc t="2" v="1453"/>
    </bk>
    <bk>
      <rc t="2" v="1454"/>
    </bk>
    <bk>
      <rc t="2" v="1455"/>
    </bk>
    <bk>
      <rc t="2" v="1456"/>
    </bk>
    <bk>
      <rc t="2" v="1457"/>
    </bk>
    <bk>
      <rc t="2" v="1458"/>
    </bk>
    <bk>
      <rc t="2" v="1459"/>
    </bk>
    <bk>
      <rc t="2" v="1460"/>
    </bk>
    <bk>
      <rc t="2" v="1461"/>
    </bk>
    <bk>
      <rc t="2" v="1462"/>
    </bk>
    <bk>
      <rc t="2" v="1463"/>
    </bk>
    <bk>
      <rc t="2" v="1464"/>
    </bk>
    <bk>
      <rc t="2" v="1465"/>
    </bk>
    <bk>
      <rc t="2" v="1466"/>
    </bk>
    <bk>
      <rc t="2" v="1467"/>
    </bk>
    <bk>
      <rc t="2" v="1468"/>
    </bk>
    <bk>
      <rc t="2" v="1469"/>
    </bk>
    <bk>
      <rc t="2" v="1470"/>
    </bk>
    <bk>
      <rc t="2" v="1471"/>
    </bk>
    <bk>
      <rc t="2" v="1472"/>
    </bk>
    <bk>
      <rc t="2" v="1473"/>
    </bk>
    <bk>
      <rc t="2" v="1474"/>
    </bk>
    <bk>
      <rc t="2" v="1475"/>
    </bk>
    <bk>
      <rc t="2" v="1476"/>
    </bk>
    <bk>
      <rc t="2" v="1477"/>
    </bk>
    <bk>
      <rc t="2" v="1478"/>
    </bk>
    <bk>
      <rc t="2" v="1479"/>
    </bk>
    <bk>
      <rc t="2" v="1480"/>
    </bk>
    <bk>
      <rc t="2" v="1481"/>
    </bk>
    <bk>
      <rc t="2" v="1482"/>
    </bk>
    <bk>
      <rc t="2" v="1483"/>
    </bk>
    <bk>
      <rc t="2" v="1484"/>
    </bk>
    <bk>
      <rc t="2" v="1485"/>
    </bk>
    <bk>
      <rc t="2" v="1486"/>
    </bk>
    <bk>
      <rc t="2" v="1487"/>
    </bk>
    <bk>
      <rc t="2" v="1488"/>
    </bk>
    <bk>
      <rc t="2" v="1489"/>
    </bk>
    <bk>
      <rc t="2" v="1490"/>
    </bk>
    <bk>
      <rc t="2" v="1491"/>
    </bk>
    <bk>
      <rc t="2" v="1492"/>
    </bk>
    <bk>
      <rc t="2" v="1493"/>
    </bk>
    <bk>
      <rc t="2" v="1494"/>
    </bk>
    <bk>
      <rc t="2" v="1495"/>
    </bk>
    <bk>
      <rc t="2" v="1496"/>
    </bk>
    <bk>
      <rc t="2" v="1497"/>
    </bk>
    <bk>
      <rc t="2" v="1498"/>
    </bk>
    <bk>
      <rc t="2" v="1499"/>
    </bk>
    <bk>
      <rc t="2" v="1500"/>
    </bk>
    <bk>
      <rc t="2" v="1501"/>
    </bk>
    <bk>
      <rc t="2" v="1502"/>
    </bk>
    <bk>
      <rc t="2" v="1503"/>
    </bk>
    <bk>
      <rc t="2" v="1504"/>
    </bk>
    <bk>
      <rc t="2" v="1505"/>
    </bk>
    <bk>
      <rc t="2" v="1506"/>
    </bk>
    <bk>
      <rc t="2" v="1507"/>
    </bk>
    <bk>
      <rc t="2" v="1508"/>
    </bk>
    <bk>
      <rc t="2" v="1509"/>
    </bk>
    <bk>
      <rc t="2" v="1510"/>
    </bk>
    <bk>
      <rc t="2" v="1511"/>
    </bk>
    <bk>
      <rc t="2" v="1512"/>
    </bk>
    <bk>
      <rc t="2" v="1513"/>
    </bk>
    <bk>
      <rc t="2" v="1514"/>
    </bk>
    <bk>
      <rc t="2" v="1515"/>
    </bk>
    <bk>
      <rc t="2" v="1516"/>
    </bk>
    <bk>
      <rc t="2" v="1517"/>
    </bk>
    <bk>
      <rc t="2" v="1518"/>
    </bk>
    <bk>
      <rc t="2" v="1519"/>
    </bk>
    <bk>
      <rc t="2" v="1520"/>
    </bk>
    <bk>
      <rc t="2" v="1521"/>
    </bk>
    <bk>
      <rc t="2" v="1522"/>
    </bk>
    <bk>
      <rc t="2" v="1523"/>
    </bk>
    <bk>
      <rc t="2" v="1524"/>
    </bk>
    <bk>
      <rc t="2" v="1525"/>
    </bk>
    <bk>
      <rc t="2" v="1526"/>
    </bk>
    <bk>
      <rc t="2" v="1527"/>
    </bk>
    <bk>
      <rc t="2" v="1528"/>
    </bk>
    <bk>
      <rc t="2" v="1529"/>
    </bk>
    <bk>
      <rc t="2" v="1530"/>
    </bk>
    <bk>
      <rc t="2" v="1531"/>
    </bk>
    <bk>
      <rc t="2" v="1532"/>
    </bk>
    <bk>
      <rc t="2" v="1533"/>
    </bk>
    <bk>
      <rc t="2" v="1534"/>
    </bk>
    <bk>
      <rc t="2" v="1535"/>
    </bk>
    <bk>
      <rc t="2" v="1536"/>
    </bk>
    <bk>
      <rc t="2" v="1537"/>
    </bk>
    <bk>
      <rc t="2" v="1538"/>
    </bk>
    <bk>
      <rc t="2" v="1539"/>
    </bk>
    <bk>
      <rc t="2" v="1540"/>
    </bk>
    <bk>
      <rc t="2" v="1541"/>
    </bk>
    <bk>
      <rc t="2" v="1542"/>
    </bk>
    <bk>
      <rc t="2" v="1543"/>
    </bk>
    <bk>
      <rc t="2" v="1544"/>
    </bk>
    <bk>
      <rc t="2" v="1545"/>
    </bk>
    <bk>
      <rc t="2" v="1546"/>
    </bk>
    <bk>
      <rc t="2" v="1547"/>
    </bk>
    <bk>
      <rc t="2" v="1548"/>
    </bk>
    <bk>
      <rc t="2" v="1549"/>
    </bk>
    <bk>
      <rc t="2" v="1550"/>
    </bk>
    <bk>
      <rc t="2" v="1551"/>
    </bk>
    <bk>
      <rc t="2" v="1552"/>
    </bk>
    <bk>
      <rc t="2" v="1553"/>
    </bk>
    <bk>
      <rc t="2" v="1554"/>
    </bk>
    <bk>
      <rc t="2" v="1555"/>
    </bk>
    <bk>
      <rc t="2" v="1556"/>
    </bk>
    <bk>
      <rc t="2" v="1557"/>
    </bk>
    <bk>
      <rc t="2" v="1558"/>
    </bk>
    <bk>
      <rc t="2" v="1559"/>
    </bk>
    <bk>
      <rc t="2" v="1560"/>
    </bk>
    <bk>
      <rc t="2" v="1561"/>
    </bk>
    <bk>
      <rc t="2" v="1562"/>
    </bk>
    <bk>
      <rc t="2" v="1563"/>
    </bk>
    <bk>
      <rc t="2" v="1564"/>
    </bk>
    <bk>
      <rc t="2" v="1565"/>
    </bk>
    <bk>
      <rc t="2" v="1566"/>
    </bk>
    <bk>
      <rc t="2" v="1567"/>
    </bk>
    <bk>
      <rc t="2" v="1568"/>
    </bk>
    <bk>
      <rc t="2" v="1569"/>
    </bk>
    <bk>
      <rc t="2" v="1570"/>
    </bk>
    <bk>
      <rc t="2" v="1571"/>
    </bk>
    <bk>
      <rc t="2" v="1572"/>
    </bk>
    <bk>
      <rc t="2" v="1573"/>
    </bk>
    <bk>
      <rc t="2" v="1574"/>
    </bk>
    <bk>
      <rc t="2" v="1575"/>
    </bk>
    <bk>
      <rc t="2" v="1576"/>
    </bk>
    <bk>
      <rc t="2" v="1577"/>
    </bk>
    <bk>
      <rc t="2" v="1578"/>
    </bk>
    <bk>
      <rc t="2" v="1579"/>
    </bk>
    <bk>
      <rc t="2" v="1580"/>
    </bk>
    <bk>
      <rc t="2" v="1581"/>
    </bk>
    <bk>
      <rc t="2" v="1582"/>
    </bk>
    <bk>
      <rc t="2" v="1583"/>
    </bk>
    <bk>
      <rc t="2" v="1584"/>
    </bk>
    <bk>
      <rc t="2" v="1585"/>
    </bk>
    <bk>
      <rc t="2" v="1586"/>
    </bk>
    <bk>
      <rc t="2" v="1587"/>
    </bk>
    <bk>
      <rc t="2" v="1588"/>
    </bk>
    <bk>
      <rc t="2" v="1589"/>
    </bk>
    <bk>
      <rc t="2" v="1590"/>
    </bk>
    <bk>
      <rc t="2" v="1591"/>
    </bk>
    <bk>
      <rc t="2" v="1592"/>
    </bk>
    <bk>
      <rc t="2" v="1593"/>
    </bk>
    <bk>
      <rc t="2" v="1594"/>
    </bk>
    <bk>
      <rc t="2" v="1595"/>
    </bk>
    <bk>
      <rc t="2" v="1596"/>
    </bk>
    <bk>
      <rc t="2" v="1597"/>
    </bk>
    <bk>
      <rc t="2" v="1598"/>
    </bk>
    <bk>
      <rc t="2" v="1599"/>
    </bk>
    <bk>
      <rc t="2" v="1600"/>
    </bk>
    <bk>
      <rc t="2" v="1601"/>
    </bk>
    <bk>
      <rc t="2" v="1602"/>
    </bk>
    <bk>
      <rc t="2" v="1603"/>
    </bk>
    <bk>
      <rc t="2" v="1604"/>
    </bk>
    <bk>
      <rc t="2" v="1605"/>
    </bk>
    <bk>
      <rc t="2" v="1606"/>
    </bk>
    <bk>
      <rc t="2" v="1607"/>
    </bk>
    <bk>
      <rc t="2" v="1608"/>
    </bk>
    <bk>
      <rc t="2" v="1609"/>
    </bk>
    <bk>
      <rc t="2" v="1610"/>
    </bk>
    <bk>
      <rc t="2" v="1611"/>
    </bk>
    <bk>
      <rc t="2" v="1612"/>
    </bk>
    <bk>
      <rc t="2" v="1613"/>
    </bk>
    <bk>
      <rc t="2" v="1614"/>
    </bk>
    <bk>
      <rc t="2" v="1615"/>
    </bk>
    <bk>
      <rc t="2" v="1616"/>
    </bk>
    <bk>
      <rc t="2" v="1617"/>
    </bk>
    <bk>
      <rc t="2" v="1618"/>
    </bk>
    <bk>
      <rc t="2" v="1619"/>
    </bk>
    <bk>
      <rc t="2" v="1620"/>
    </bk>
    <bk>
      <rc t="2" v="1621"/>
    </bk>
    <bk>
      <rc t="2" v="1622"/>
    </bk>
    <bk>
      <rc t="2" v="1623"/>
    </bk>
    <bk>
      <rc t="2" v="1624"/>
    </bk>
    <bk>
      <rc t="2" v="1625"/>
    </bk>
    <bk>
      <rc t="2" v="1626"/>
    </bk>
    <bk>
      <rc t="2" v="1627"/>
    </bk>
    <bk>
      <rc t="2" v="1628"/>
    </bk>
    <bk>
      <rc t="2" v="1629"/>
    </bk>
    <bk>
      <rc t="2" v="1630"/>
    </bk>
    <bk>
      <rc t="2" v="1631"/>
    </bk>
    <bk>
      <rc t="2" v="1632"/>
    </bk>
    <bk>
      <rc t="2" v="1633"/>
    </bk>
    <bk>
      <rc t="2" v="1634"/>
    </bk>
    <bk>
      <rc t="2" v="1635"/>
    </bk>
    <bk>
      <rc t="2" v="1636"/>
    </bk>
    <bk>
      <rc t="2" v="1637"/>
    </bk>
    <bk>
      <rc t="2" v="1638"/>
    </bk>
    <bk>
      <rc t="2" v="1639"/>
    </bk>
    <bk>
      <rc t="2" v="1640"/>
    </bk>
    <bk>
      <rc t="2" v="1641"/>
    </bk>
    <bk>
      <rc t="2" v="1642"/>
    </bk>
    <bk>
      <rc t="2" v="1643"/>
    </bk>
    <bk>
      <rc t="2" v="1644"/>
    </bk>
    <bk>
      <rc t="2" v="1645"/>
    </bk>
    <bk>
      <rc t="2" v="1646"/>
    </bk>
    <bk>
      <rc t="2" v="1647"/>
    </bk>
    <bk>
      <rc t="2" v="1648"/>
    </bk>
    <bk>
      <rc t="2" v="1649"/>
    </bk>
    <bk>
      <rc t="2" v="1650"/>
    </bk>
    <bk>
      <rc t="2" v="1651"/>
    </bk>
    <bk>
      <rc t="2" v="1652"/>
    </bk>
    <bk>
      <rc t="2" v="1653"/>
    </bk>
    <bk>
      <rc t="2" v="1654"/>
    </bk>
    <bk>
      <rc t="2" v="1655"/>
    </bk>
    <bk>
      <rc t="2" v="1656"/>
    </bk>
    <bk>
      <rc t="2" v="1657"/>
    </bk>
    <bk>
      <rc t="2" v="1658"/>
    </bk>
    <bk>
      <rc t="2" v="1659"/>
    </bk>
    <bk>
      <rc t="2" v="1660"/>
    </bk>
    <bk>
      <rc t="2" v="1661"/>
    </bk>
    <bk>
      <rc t="2" v="1662"/>
    </bk>
    <bk>
      <rc t="2" v="1663"/>
    </bk>
    <bk>
      <rc t="2" v="1664"/>
    </bk>
    <bk>
      <rc t="2" v="1665"/>
    </bk>
    <bk>
      <rc t="2" v="1666"/>
    </bk>
    <bk>
      <rc t="2" v="1667"/>
    </bk>
    <bk>
      <rc t="2" v="1668"/>
    </bk>
    <bk>
      <rc t="2" v="1669"/>
    </bk>
    <bk>
      <rc t="2" v="1670"/>
    </bk>
    <bk>
      <rc t="2" v="1671"/>
    </bk>
    <bk>
      <rc t="2" v="1672"/>
    </bk>
    <bk>
      <rc t="2" v="1673"/>
    </bk>
    <bk>
      <rc t="2" v="1674"/>
    </bk>
    <bk>
      <rc t="2" v="1675"/>
    </bk>
    <bk>
      <rc t="2" v="1676"/>
    </bk>
    <bk>
      <rc t="2" v="1677"/>
    </bk>
    <bk>
      <rc t="2" v="1678"/>
    </bk>
    <bk>
      <rc t="2" v="1679"/>
    </bk>
    <bk>
      <rc t="2" v="1680"/>
    </bk>
    <bk>
      <rc t="2" v="1681"/>
    </bk>
    <bk>
      <rc t="2" v="1682"/>
    </bk>
    <bk>
      <rc t="2" v="1683"/>
    </bk>
    <bk>
      <rc t="2" v="1684"/>
    </bk>
    <bk>
      <rc t="2" v="1685"/>
    </bk>
    <bk>
      <rc t="2" v="1686"/>
    </bk>
    <bk>
      <rc t="2" v="1687"/>
    </bk>
    <bk>
      <rc t="2" v="1688"/>
    </bk>
    <bk>
      <rc t="2" v="1689"/>
    </bk>
    <bk>
      <rc t="2" v="1690"/>
    </bk>
    <bk>
      <rc t="2" v="1691"/>
    </bk>
    <bk>
      <rc t="2" v="1692"/>
    </bk>
    <bk>
      <rc t="2" v="1693"/>
    </bk>
    <bk>
      <rc t="2" v="1694"/>
    </bk>
    <bk>
      <rc t="2" v="1695"/>
    </bk>
    <bk>
      <rc t="2" v="1696"/>
    </bk>
    <bk>
      <rc t="2" v="1697"/>
    </bk>
    <bk>
      <rc t="2" v="1698"/>
    </bk>
    <bk>
      <rc t="2" v="1699"/>
    </bk>
    <bk>
      <rc t="2" v="1700"/>
    </bk>
    <bk>
      <rc t="2" v="1701"/>
    </bk>
    <bk>
      <rc t="2" v="1702"/>
    </bk>
    <bk>
      <rc t="2" v="1703"/>
    </bk>
    <bk>
      <rc t="2" v="1704"/>
    </bk>
    <bk>
      <rc t="2" v="1705"/>
    </bk>
    <bk>
      <rc t="2" v="1706"/>
    </bk>
    <bk>
      <rc t="2" v="1707"/>
    </bk>
    <bk>
      <rc t="2" v="1708"/>
    </bk>
    <bk>
      <rc t="2" v="1709"/>
    </bk>
    <bk>
      <rc t="2" v="1710"/>
    </bk>
    <bk>
      <rc t="2" v="1711"/>
    </bk>
    <bk>
      <rc t="2" v="1712"/>
    </bk>
    <bk>
      <rc t="2" v="1713"/>
    </bk>
    <bk>
      <rc t="2" v="1714"/>
    </bk>
    <bk>
      <rc t="2" v="1715"/>
    </bk>
    <bk>
      <rc t="2" v="1716"/>
    </bk>
    <bk>
      <rc t="2" v="1717"/>
    </bk>
    <bk>
      <rc t="2" v="1718"/>
    </bk>
    <bk>
      <rc t="2" v="1719"/>
    </bk>
    <bk>
      <rc t="2" v="1720"/>
    </bk>
    <bk>
      <rc t="2" v="1721"/>
    </bk>
    <bk>
      <rc t="2" v="1722"/>
    </bk>
    <bk>
      <rc t="2" v="1723"/>
    </bk>
    <bk>
      <rc t="2" v="1724"/>
    </bk>
    <bk>
      <rc t="2" v="1725"/>
    </bk>
    <bk>
      <rc t="2" v="1726"/>
    </bk>
    <bk>
      <rc t="2" v="1727"/>
    </bk>
    <bk>
      <rc t="2" v="1728"/>
    </bk>
    <bk>
      <rc t="2" v="1729"/>
    </bk>
    <bk>
      <rc t="2" v="1730"/>
    </bk>
    <bk>
      <rc t="2" v="1731"/>
    </bk>
    <bk>
      <rc t="2" v="1732"/>
    </bk>
    <bk>
      <rc t="2" v="1733"/>
    </bk>
    <bk>
      <rc t="2" v="1734"/>
    </bk>
    <bk>
      <rc t="2" v="1735"/>
    </bk>
    <bk>
      <rc t="2" v="1736"/>
    </bk>
    <bk>
      <rc t="2" v="1737"/>
    </bk>
    <bk>
      <rc t="2" v="1738"/>
    </bk>
    <bk>
      <rc t="2" v="1739"/>
    </bk>
    <bk>
      <rc t="2" v="1740"/>
    </bk>
    <bk>
      <rc t="2" v="1741"/>
    </bk>
    <bk>
      <rc t="2" v="1742"/>
    </bk>
    <bk>
      <rc t="2" v="1743"/>
    </bk>
    <bk>
      <rc t="2" v="1744"/>
    </bk>
    <bk>
      <rc t="2" v="1745"/>
    </bk>
    <bk>
      <rc t="2" v="1746"/>
    </bk>
    <bk>
      <rc t="2" v="1747"/>
    </bk>
    <bk>
      <rc t="2" v="1748"/>
    </bk>
    <bk>
      <rc t="2" v="1749"/>
    </bk>
    <bk>
      <rc t="2" v="1750"/>
    </bk>
    <bk>
      <rc t="2" v="1751"/>
    </bk>
    <bk>
      <rc t="2" v="1752"/>
    </bk>
    <bk>
      <rc t="2" v="1753"/>
    </bk>
    <bk>
      <rc t="2" v="1754"/>
    </bk>
    <bk>
      <rc t="2" v="1755"/>
    </bk>
    <bk>
      <rc t="2" v="1756"/>
    </bk>
    <bk>
      <rc t="2" v="1757"/>
    </bk>
    <bk>
      <rc t="2" v="1758"/>
    </bk>
    <bk>
      <rc t="2" v="1759"/>
    </bk>
    <bk>
      <rc t="2" v="1760"/>
    </bk>
    <bk>
      <rc t="2" v="1761"/>
    </bk>
    <bk>
      <rc t="2" v="1762"/>
    </bk>
    <bk>
      <rc t="2" v="1763"/>
    </bk>
    <bk>
      <rc t="2" v="1764"/>
    </bk>
    <bk>
      <rc t="2" v="1765"/>
    </bk>
    <bk>
      <rc t="2" v="1766"/>
    </bk>
    <bk>
      <rc t="2" v="1767"/>
    </bk>
    <bk>
      <rc t="2" v="1768"/>
    </bk>
    <bk>
      <rc t="2" v="1769"/>
    </bk>
    <bk>
      <rc t="2" v="1770"/>
    </bk>
    <bk>
      <rc t="2" v="1771"/>
    </bk>
    <bk>
      <rc t="2" v="1772"/>
    </bk>
    <bk>
      <rc t="2" v="1773"/>
    </bk>
    <bk>
      <rc t="2" v="1774"/>
    </bk>
    <bk>
      <rc t="2" v="1775"/>
    </bk>
    <bk>
      <rc t="2" v="1776"/>
    </bk>
    <bk>
      <rc t="2" v="1777"/>
    </bk>
    <bk>
      <rc t="2" v="1778"/>
    </bk>
    <bk>
      <rc t="2" v="1779"/>
    </bk>
    <bk>
      <rc t="2" v="1780"/>
    </bk>
    <bk>
      <rc t="2" v="1781"/>
    </bk>
    <bk>
      <rc t="2" v="1782"/>
    </bk>
    <bk>
      <rc t="2" v="1783"/>
    </bk>
    <bk>
      <rc t="2" v="1784"/>
    </bk>
    <bk>
      <rc t="2" v="1785"/>
    </bk>
    <bk>
      <rc t="2" v="1786"/>
    </bk>
    <bk>
      <rc t="2" v="1787"/>
    </bk>
    <bk>
      <rc t="2" v="1788"/>
    </bk>
    <bk>
      <rc t="2" v="1789"/>
    </bk>
    <bk>
      <rc t="2" v="1790"/>
    </bk>
    <bk>
      <rc t="2" v="1791"/>
    </bk>
    <bk>
      <rc t="2" v="1792"/>
    </bk>
    <bk>
      <rc t="2" v="1793"/>
    </bk>
    <bk>
      <rc t="2" v="1794"/>
    </bk>
    <bk>
      <rc t="2" v="1795"/>
    </bk>
    <bk>
      <rc t="2" v="1796"/>
    </bk>
    <bk>
      <rc t="2" v="1797"/>
    </bk>
    <bk>
      <rc t="2" v="1798"/>
    </bk>
    <bk>
      <rc t="2" v="1799"/>
    </bk>
    <bk>
      <rc t="2" v="1800"/>
    </bk>
    <bk>
      <rc t="2" v="1801"/>
    </bk>
    <bk>
      <rc t="2" v="1802"/>
    </bk>
    <bk>
      <rc t="2" v="1803"/>
    </bk>
    <bk>
      <rc t="2" v="1804"/>
    </bk>
    <bk>
      <rc t="2" v="1805"/>
    </bk>
    <bk>
      <rc t="2" v="1806"/>
    </bk>
    <bk>
      <rc t="2" v="1807"/>
    </bk>
    <bk>
      <rc t="2" v="1808"/>
    </bk>
    <bk>
      <rc t="2" v="1809"/>
    </bk>
    <bk>
      <rc t="2" v="1810"/>
    </bk>
    <bk>
      <rc t="2" v="1811"/>
    </bk>
    <bk>
      <rc t="2" v="1812"/>
    </bk>
    <bk>
      <rc t="2" v="1813"/>
    </bk>
    <bk>
      <rc t="2" v="1814"/>
    </bk>
    <bk>
      <rc t="2" v="1815"/>
    </bk>
    <bk>
      <rc t="2" v="1816"/>
    </bk>
    <bk>
      <rc t="2" v="1817"/>
    </bk>
    <bk>
      <rc t="2" v="1818"/>
    </bk>
    <bk>
      <rc t="2" v="1819"/>
    </bk>
    <bk>
      <rc t="2" v="1820"/>
    </bk>
    <bk>
      <rc t="2" v="1821"/>
    </bk>
    <bk>
      <rc t="2" v="1822"/>
    </bk>
    <bk>
      <rc t="2" v="1823"/>
    </bk>
    <bk>
      <rc t="2" v="1824"/>
    </bk>
    <bk>
      <rc t="2" v="1825"/>
    </bk>
    <bk>
      <rc t="2" v="1826"/>
    </bk>
    <bk>
      <rc t="2" v="1827"/>
    </bk>
    <bk>
      <rc t="2" v="1828"/>
    </bk>
    <bk>
      <rc t="2" v="1829"/>
    </bk>
    <bk>
      <rc t="2" v="1830"/>
    </bk>
    <bk>
      <rc t="2" v="1831"/>
    </bk>
    <bk>
      <rc t="2" v="1832"/>
    </bk>
    <bk>
      <rc t="2" v="1833"/>
    </bk>
    <bk>
      <rc t="2" v="1834"/>
    </bk>
    <bk>
      <rc t="2" v="1835"/>
    </bk>
    <bk>
      <rc t="2" v="1836"/>
    </bk>
    <bk>
      <rc t="2" v="1837"/>
    </bk>
    <bk>
      <rc t="2" v="1838"/>
    </bk>
    <bk>
      <rc t="2" v="1839"/>
    </bk>
    <bk>
      <rc t="2" v="1840"/>
    </bk>
    <bk>
      <rc t="2" v="1841"/>
    </bk>
    <bk>
      <rc t="2" v="1842"/>
    </bk>
    <bk>
      <rc t="2" v="1843"/>
    </bk>
    <bk>
      <rc t="2" v="1844"/>
    </bk>
    <bk>
      <rc t="2" v="1845"/>
    </bk>
    <bk>
      <rc t="2" v="1846"/>
    </bk>
    <bk>
      <rc t="2" v="1847"/>
    </bk>
    <bk>
      <rc t="2" v="1848"/>
    </bk>
    <bk>
      <rc t="2" v="1849"/>
    </bk>
    <bk>
      <rc t="2" v="1850"/>
    </bk>
    <bk>
      <rc t="2" v="1851"/>
    </bk>
    <bk>
      <rc t="2" v="1852"/>
    </bk>
    <bk>
      <rc t="2" v="1853"/>
    </bk>
    <bk>
      <rc t="2" v="1854"/>
    </bk>
    <bk>
      <rc t="2" v="1855"/>
    </bk>
    <bk>
      <rc t="2" v="1856"/>
    </bk>
    <bk>
      <rc t="2" v="1857"/>
    </bk>
    <bk>
      <rc t="2" v="1858"/>
    </bk>
    <bk>
      <rc t="2" v="1859"/>
    </bk>
    <bk>
      <rc t="2" v="1860"/>
    </bk>
    <bk>
      <rc t="2" v="1861"/>
    </bk>
    <bk>
      <rc t="2" v="1862"/>
    </bk>
    <bk>
      <rc t="2" v="1863"/>
    </bk>
    <bk>
      <rc t="2" v="1864"/>
    </bk>
    <bk>
      <rc t="2" v="1865"/>
    </bk>
    <bk>
      <rc t="2" v="1866"/>
    </bk>
    <bk>
      <rc t="2" v="1867"/>
    </bk>
    <bk>
      <rc t="2" v="1868"/>
    </bk>
    <bk>
      <rc t="2" v="1869"/>
    </bk>
    <bk>
      <rc t="2" v="1870"/>
    </bk>
    <bk>
      <rc t="2" v="1871"/>
    </bk>
    <bk>
      <rc t="2" v="1872"/>
    </bk>
    <bk>
      <rc t="2" v="1873"/>
    </bk>
    <bk>
      <rc t="2" v="1874"/>
    </bk>
    <bk>
      <rc t="2" v="1875"/>
    </bk>
    <bk>
      <rc t="2" v="1876"/>
    </bk>
    <bk>
      <rc t="2" v="1877"/>
    </bk>
    <bk>
      <rc t="2" v="1878"/>
    </bk>
    <bk>
      <rc t="2" v="1879"/>
    </bk>
    <bk>
      <rc t="2" v="1880"/>
    </bk>
    <bk>
      <rc t="2" v="1881"/>
    </bk>
    <bk>
      <rc t="2" v="1882"/>
    </bk>
    <bk>
      <rc t="2" v="1883"/>
    </bk>
    <bk>
      <rc t="2" v="1884"/>
    </bk>
    <bk>
      <rc t="2" v="1885"/>
    </bk>
    <bk>
      <rc t="2" v="1886"/>
    </bk>
    <bk>
      <rc t="2" v="1887"/>
    </bk>
    <bk>
      <rc t="2" v="1888"/>
    </bk>
    <bk>
      <rc t="2" v="1889"/>
    </bk>
    <bk>
      <rc t="2" v="1890"/>
    </bk>
    <bk>
      <rc t="2" v="1891"/>
    </bk>
    <bk>
      <rc t="2" v="1892"/>
    </bk>
    <bk>
      <rc t="2" v="1893"/>
    </bk>
    <bk>
      <rc t="2" v="1894"/>
    </bk>
    <bk>
      <rc t="2" v="1895"/>
    </bk>
    <bk>
      <rc t="2" v="1896"/>
    </bk>
    <bk>
      <rc t="2" v="1897"/>
    </bk>
    <bk>
      <rc t="2" v="1898"/>
    </bk>
    <bk>
      <rc t="2" v="1899"/>
    </bk>
    <bk>
      <rc t="2" v="1900"/>
    </bk>
    <bk>
      <rc t="2" v="1901"/>
    </bk>
    <bk>
      <rc t="2" v="1902"/>
    </bk>
    <bk>
      <rc t="2" v="1903"/>
    </bk>
    <bk>
      <rc t="2" v="1904"/>
    </bk>
    <bk>
      <rc t="2" v="1905"/>
    </bk>
    <bk>
      <rc t="2" v="1906"/>
    </bk>
    <bk>
      <rc t="2" v="1907"/>
    </bk>
    <bk>
      <rc t="2" v="1908"/>
    </bk>
    <bk>
      <rc t="2" v="1909"/>
    </bk>
    <bk>
      <rc t="2" v="1910"/>
    </bk>
    <bk>
      <rc t="2" v="1911"/>
    </bk>
    <bk>
      <rc t="2" v="1912"/>
    </bk>
    <bk>
      <rc t="2" v="1913"/>
    </bk>
    <bk>
      <rc t="2" v="1914"/>
    </bk>
    <bk>
      <rc t="2" v="1915"/>
    </bk>
    <bk>
      <rc t="2" v="1916"/>
    </bk>
    <bk>
      <rc t="2" v="1917"/>
    </bk>
    <bk>
      <rc t="2" v="1918"/>
    </bk>
    <bk>
      <rc t="2" v="1919"/>
    </bk>
    <bk>
      <rc t="2" v="1920"/>
    </bk>
    <bk>
      <rc t="2" v="1921"/>
    </bk>
    <bk>
      <rc t="2" v="1922"/>
    </bk>
    <bk>
      <rc t="2" v="1923"/>
    </bk>
    <bk>
      <rc t="2" v="1924"/>
    </bk>
    <bk>
      <rc t="2" v="1925"/>
    </bk>
    <bk>
      <rc t="2" v="1926"/>
    </bk>
    <bk>
      <rc t="2" v="1927"/>
    </bk>
    <bk>
      <rc t="2" v="1928"/>
    </bk>
    <bk>
      <rc t="2" v="1929"/>
    </bk>
    <bk>
      <rc t="2" v="1930"/>
    </bk>
    <bk>
      <rc t="2" v="1931"/>
    </bk>
    <bk>
      <rc t="2" v="1932"/>
    </bk>
    <bk>
      <rc t="2" v="1933"/>
    </bk>
    <bk>
      <rc t="2" v="1934"/>
    </bk>
    <bk>
      <rc t="2" v="1935"/>
    </bk>
    <bk>
      <rc t="2" v="1936"/>
    </bk>
    <bk>
      <rc t="2" v="1937"/>
    </bk>
    <bk>
      <rc t="2" v="1938"/>
    </bk>
    <bk>
      <rc t="2" v="1939"/>
    </bk>
    <bk>
      <rc t="2" v="1940"/>
    </bk>
    <bk>
      <rc t="2" v="1941"/>
    </bk>
    <bk>
      <rc t="2" v="1942"/>
    </bk>
    <bk>
      <rc t="2" v="1943"/>
    </bk>
    <bk>
      <rc t="2" v="1944"/>
    </bk>
    <bk>
      <rc t="2" v="1945"/>
    </bk>
    <bk>
      <rc t="2" v="1946"/>
    </bk>
    <bk>
      <rc t="2" v="1947"/>
    </bk>
    <bk>
      <rc t="2" v="1948"/>
    </bk>
    <bk>
      <rc t="2" v="1949"/>
    </bk>
    <bk>
      <rc t="2" v="1950"/>
    </bk>
    <bk>
      <rc t="2" v="1951"/>
    </bk>
    <bk>
      <rc t="2" v="1952"/>
    </bk>
    <bk>
      <rc t="2" v="1953"/>
    </bk>
    <bk>
      <rc t="2" v="1954"/>
    </bk>
    <bk>
      <rc t="2" v="1955"/>
    </bk>
    <bk>
      <rc t="2" v="1956"/>
    </bk>
    <bk>
      <rc t="2" v="1957"/>
    </bk>
    <bk>
      <rc t="2" v="1958"/>
    </bk>
    <bk>
      <rc t="2" v="1959"/>
    </bk>
    <bk>
      <rc t="2" v="1960"/>
    </bk>
    <bk>
      <rc t="2" v="1961"/>
    </bk>
    <bk>
      <rc t="2" v="1962"/>
    </bk>
    <bk>
      <rc t="2" v="1963"/>
    </bk>
    <bk>
      <rc t="2" v="1964"/>
    </bk>
    <bk>
      <rc t="2" v="1965"/>
    </bk>
    <bk>
      <rc t="2" v="1966"/>
    </bk>
    <bk>
      <rc t="2" v="1967"/>
    </bk>
    <bk>
      <rc t="2" v="1968"/>
    </bk>
    <bk>
      <rc t="2" v="1969"/>
    </bk>
    <bk>
      <rc t="2" v="1970"/>
    </bk>
    <bk>
      <rc t="2" v="1971"/>
    </bk>
    <bk>
      <rc t="2" v="1972"/>
    </bk>
    <bk>
      <rc t="2" v="1973"/>
    </bk>
    <bk>
      <rc t="2" v="1974"/>
    </bk>
    <bk>
      <rc t="2" v="1975"/>
    </bk>
    <bk>
      <rc t="2" v="1976"/>
    </bk>
    <bk>
      <rc t="2" v="1977"/>
    </bk>
    <bk>
      <rc t="2" v="1978"/>
    </bk>
    <bk>
      <rc t="2" v="1979"/>
    </bk>
    <bk>
      <rc t="2" v="1980"/>
    </bk>
    <bk>
      <rc t="2" v="1981"/>
    </bk>
    <bk>
      <rc t="2" v="1982"/>
    </bk>
    <bk>
      <rc t="2" v="1983"/>
    </bk>
    <bk>
      <rc t="2" v="1984"/>
    </bk>
    <bk>
      <rc t="2" v="1985"/>
    </bk>
    <bk>
      <rc t="2" v="1986"/>
    </bk>
    <bk>
      <rc t="2" v="1987"/>
    </bk>
    <bk>
      <rc t="2" v="1988"/>
    </bk>
    <bk>
      <rc t="2" v="1989"/>
    </bk>
    <bk>
      <rc t="2" v="1990"/>
    </bk>
    <bk>
      <rc t="2" v="1991"/>
    </bk>
    <bk>
      <rc t="2" v="1992"/>
    </bk>
    <bk>
      <rc t="2" v="1993"/>
    </bk>
    <bk>
      <rc t="2" v="1994"/>
    </bk>
    <bk>
      <rc t="2" v="1995"/>
    </bk>
    <bk>
      <rc t="2" v="1996"/>
    </bk>
    <bk>
      <rc t="2" v="1997"/>
    </bk>
    <bk>
      <rc t="2" v="1998"/>
    </bk>
    <bk>
      <rc t="2" v="1999"/>
    </bk>
    <bk>
      <rc t="2" v="2000"/>
    </bk>
    <bk>
      <rc t="2" v="2001"/>
    </bk>
    <bk>
      <rc t="2" v="2002"/>
    </bk>
    <bk>
      <rc t="2" v="2003"/>
    </bk>
    <bk>
      <rc t="2" v="2004"/>
    </bk>
    <bk>
      <rc t="2" v="2005"/>
    </bk>
    <bk>
      <rc t="2" v="2006"/>
    </bk>
    <bk>
      <rc t="2" v="2007"/>
    </bk>
    <bk>
      <rc t="2" v="2008"/>
    </bk>
    <bk>
      <rc t="2" v="2009"/>
    </bk>
    <bk>
      <rc t="2" v="2010"/>
    </bk>
    <bk>
      <rc t="2" v="2011"/>
    </bk>
    <bk>
      <rc t="2" v="2012"/>
    </bk>
    <bk>
      <rc t="2" v="2013"/>
    </bk>
    <bk>
      <rc t="2" v="2014"/>
    </bk>
    <bk>
      <rc t="2" v="2015"/>
    </bk>
    <bk>
      <rc t="2" v="2016"/>
    </bk>
    <bk>
      <rc t="2" v="2017"/>
    </bk>
    <bk>
      <rc t="2" v="2018"/>
    </bk>
    <bk>
      <rc t="2" v="2019"/>
    </bk>
    <bk>
      <rc t="2" v="2020"/>
    </bk>
    <bk>
      <rc t="2" v="2021"/>
    </bk>
    <bk>
      <rc t="2" v="2022"/>
    </bk>
    <bk>
      <rc t="2" v="2023"/>
    </bk>
    <bk>
      <rc t="2" v="2024"/>
    </bk>
    <bk>
      <rc t="2" v="2025"/>
    </bk>
    <bk>
      <rc t="2" v="2026"/>
    </bk>
    <bk>
      <rc t="2" v="2027"/>
    </bk>
    <bk>
      <rc t="2" v="2028"/>
    </bk>
    <bk>
      <rc t="2" v="2029"/>
    </bk>
    <bk>
      <rc t="2" v="2030"/>
    </bk>
    <bk>
      <rc t="2" v="2031"/>
    </bk>
    <bk>
      <rc t="2" v="2032"/>
    </bk>
    <bk>
      <rc t="2" v="2033"/>
    </bk>
    <bk>
      <rc t="2" v="2034"/>
    </bk>
    <bk>
      <rc t="2" v="2035"/>
    </bk>
    <bk>
      <rc t="2" v="2036"/>
    </bk>
    <bk>
      <rc t="2" v="2037"/>
    </bk>
    <bk>
      <rc t="2" v="2038"/>
    </bk>
    <bk>
      <rc t="2" v="2039"/>
    </bk>
    <bk>
      <rc t="2" v="2040"/>
    </bk>
    <bk>
      <rc t="2" v="2041"/>
    </bk>
    <bk>
      <rc t="2" v="2042"/>
    </bk>
    <bk>
      <rc t="2" v="2043"/>
    </bk>
    <bk>
      <rc t="2" v="2044"/>
    </bk>
    <bk>
      <rc t="2" v="2045"/>
    </bk>
    <bk>
      <rc t="2" v="2046"/>
    </bk>
    <bk>
      <rc t="2" v="2047"/>
    </bk>
    <bk>
      <rc t="2" v="2048"/>
    </bk>
    <bk>
      <rc t="2" v="2049"/>
    </bk>
    <bk>
      <rc t="2" v="2050"/>
    </bk>
    <bk>
      <rc t="2" v="2051"/>
    </bk>
    <bk>
      <rc t="2" v="2052"/>
    </bk>
    <bk>
      <rc t="2" v="2053"/>
    </bk>
    <bk>
      <rc t="2" v="2054"/>
    </bk>
    <bk>
      <rc t="2" v="2055"/>
    </bk>
    <bk>
      <rc t="2" v="2056"/>
    </bk>
    <bk>
      <rc t="2" v="2057"/>
    </bk>
    <bk>
      <rc t="2" v="2058"/>
    </bk>
    <bk>
      <rc t="2" v="2059"/>
    </bk>
    <bk>
      <rc t="2" v="2060"/>
    </bk>
    <bk>
      <rc t="2" v="2061"/>
    </bk>
    <bk>
      <rc t="2" v="2062"/>
    </bk>
    <bk>
      <rc t="2" v="2063"/>
    </bk>
    <bk>
      <rc t="2" v="2064"/>
    </bk>
    <bk>
      <rc t="2" v="2065"/>
    </bk>
    <bk>
      <rc t="2" v="2066"/>
    </bk>
    <bk>
      <rc t="2" v="2067"/>
    </bk>
    <bk>
      <rc t="2" v="2068"/>
    </bk>
    <bk>
      <rc t="2" v="2069"/>
    </bk>
    <bk>
      <rc t="2" v="2070"/>
    </bk>
    <bk>
      <rc t="2" v="2071"/>
    </bk>
    <bk>
      <rc t="2" v="2072"/>
    </bk>
    <bk>
      <rc t="2" v="2073"/>
    </bk>
    <bk>
      <rc t="2" v="2074"/>
    </bk>
    <bk>
      <rc t="2" v="2075"/>
    </bk>
    <bk>
      <rc t="2" v="2076"/>
    </bk>
    <bk>
      <rc t="2" v="2077"/>
    </bk>
    <bk>
      <rc t="2" v="2078"/>
    </bk>
    <bk>
      <rc t="2" v="2079"/>
    </bk>
    <bk>
      <rc t="2" v="2080"/>
    </bk>
    <bk>
      <rc t="2" v="2081"/>
    </bk>
    <bk>
      <rc t="2" v="2082"/>
    </bk>
    <bk>
      <rc t="2" v="2083"/>
    </bk>
    <bk>
      <rc t="2" v="2084"/>
    </bk>
    <bk>
      <rc t="2" v="2085"/>
    </bk>
    <bk>
      <rc t="2" v="2086"/>
    </bk>
    <bk>
      <rc t="2" v="2087"/>
    </bk>
    <bk>
      <rc t="2" v="2088"/>
    </bk>
    <bk>
      <rc t="2" v="2089"/>
    </bk>
    <bk>
      <rc t="2" v="2090"/>
    </bk>
    <bk>
      <rc t="2" v="2091"/>
    </bk>
    <bk>
      <rc t="2" v="2092"/>
    </bk>
    <bk>
      <rc t="2" v="2093"/>
    </bk>
    <bk>
      <rc t="2" v="2094"/>
    </bk>
    <bk>
      <rc t="2" v="2095"/>
    </bk>
    <bk>
      <rc t="2" v="2096"/>
    </bk>
    <bk>
      <rc t="2" v="2097"/>
    </bk>
    <bk>
      <rc t="2" v="2098"/>
    </bk>
    <bk>
      <rc t="2" v="2099"/>
    </bk>
    <bk>
      <rc t="2" v="2100"/>
    </bk>
    <bk>
      <rc t="2" v="2101"/>
    </bk>
    <bk>
      <rc t="2" v="2102"/>
    </bk>
    <bk>
      <rc t="2" v="2103"/>
    </bk>
    <bk>
      <rc t="2" v="2104"/>
    </bk>
    <bk>
      <rc t="2" v="2105"/>
    </bk>
    <bk>
      <rc t="2" v="2106"/>
    </bk>
    <bk>
      <rc t="2" v="2107"/>
    </bk>
    <bk>
      <rc t="2" v="2108"/>
    </bk>
    <bk>
      <rc t="2" v="2109"/>
    </bk>
    <bk>
      <rc t="2" v="2110"/>
    </bk>
    <bk>
      <rc t="2" v="2111"/>
    </bk>
    <bk>
      <rc t="2" v="2112"/>
    </bk>
    <bk>
      <rc t="2" v="2113"/>
    </bk>
    <bk>
      <rc t="2" v="2114"/>
    </bk>
    <bk>
      <rc t="2" v="2115"/>
    </bk>
    <bk>
      <rc t="2" v="2116"/>
    </bk>
    <bk>
      <rc t="2" v="2117"/>
    </bk>
    <bk>
      <rc t="2" v="2118"/>
    </bk>
    <bk>
      <rc t="2" v="2119"/>
    </bk>
    <bk>
      <rc t="2" v="2120"/>
    </bk>
    <bk>
      <rc t="2" v="2121"/>
    </bk>
    <bk>
      <rc t="2" v="2122"/>
    </bk>
    <bk>
      <rc t="2" v="2123"/>
    </bk>
    <bk>
      <rc t="2" v="2124"/>
    </bk>
    <bk>
      <rc t="2" v="2125"/>
    </bk>
    <bk>
      <rc t="2" v="2126"/>
    </bk>
    <bk>
      <rc t="2" v="2127"/>
    </bk>
    <bk>
      <rc t="2" v="2128"/>
    </bk>
    <bk>
      <rc t="2" v="2129"/>
    </bk>
    <bk>
      <rc t="2" v="2130"/>
    </bk>
    <bk>
      <rc t="2" v="2131"/>
    </bk>
    <bk>
      <rc t="2" v="2132"/>
    </bk>
    <bk>
      <rc t="2" v="2133"/>
    </bk>
    <bk>
      <rc t="2" v="2134"/>
    </bk>
    <bk>
      <rc t="2" v="2135"/>
    </bk>
    <bk>
      <rc t="2" v="2136"/>
    </bk>
    <bk>
      <rc t="2" v="2137"/>
    </bk>
    <bk>
      <rc t="2" v="2138"/>
    </bk>
    <bk>
      <rc t="2" v="2139"/>
    </bk>
    <bk>
      <rc t="2" v="2140"/>
    </bk>
    <bk>
      <rc t="2" v="2141"/>
    </bk>
    <bk>
      <rc t="2" v="2142"/>
    </bk>
    <bk>
      <rc t="2" v="2143"/>
    </bk>
    <bk>
      <rc t="2" v="2144"/>
    </bk>
    <bk>
      <rc t="2" v="2145"/>
    </bk>
    <bk>
      <rc t="2" v="2146"/>
    </bk>
    <bk>
      <rc t="2" v="2147"/>
    </bk>
    <bk>
      <rc t="2" v="2148"/>
    </bk>
    <bk>
      <rc t="2" v="2149"/>
    </bk>
    <bk>
      <rc t="2" v="2150"/>
    </bk>
    <bk>
      <rc t="2" v="2151"/>
    </bk>
    <bk>
      <rc t="2" v="2152"/>
    </bk>
    <bk>
      <rc t="2" v="2153"/>
    </bk>
    <bk>
      <rc t="2" v="2154"/>
    </bk>
    <bk>
      <rc t="2" v="2155"/>
    </bk>
    <bk>
      <rc t="2" v="2156"/>
    </bk>
    <bk>
      <rc t="2" v="2157"/>
    </bk>
    <bk>
      <rc t="2" v="2158"/>
    </bk>
    <bk>
      <rc t="2" v="2159"/>
    </bk>
    <bk>
      <rc t="2" v="2160"/>
    </bk>
    <bk>
      <rc t="2" v="2161"/>
    </bk>
    <bk>
      <rc t="2" v="2162"/>
    </bk>
    <bk>
      <rc t="2" v="2163"/>
    </bk>
    <bk>
      <rc t="2" v="2164"/>
    </bk>
    <bk>
      <rc t="2" v="2165"/>
    </bk>
    <bk>
      <rc t="2" v="2166"/>
    </bk>
    <bk>
      <rc t="2" v="2167"/>
    </bk>
    <bk>
      <rc t="2" v="2168"/>
    </bk>
    <bk>
      <rc t="2" v="2169"/>
    </bk>
    <bk>
      <rc t="2" v="2170"/>
    </bk>
    <bk>
      <rc t="2" v="2171"/>
    </bk>
    <bk>
      <rc t="2" v="2172"/>
    </bk>
    <bk>
      <rc t="2" v="2173"/>
    </bk>
    <bk>
      <rc t="2" v="2174"/>
    </bk>
    <bk>
      <rc t="2" v="2175"/>
    </bk>
    <bk>
      <rc t="2" v="2176"/>
    </bk>
    <bk>
      <rc t="2" v="2177"/>
    </bk>
    <bk>
      <rc t="2" v="2178"/>
    </bk>
    <bk>
      <rc t="2" v="2179"/>
    </bk>
    <bk>
      <rc t="2" v="2180"/>
    </bk>
    <bk>
      <rc t="2" v="2181"/>
    </bk>
    <bk>
      <rc t="2" v="2182"/>
    </bk>
    <bk>
      <rc t="2" v="2183"/>
    </bk>
    <bk>
      <rc t="2" v="2184"/>
    </bk>
    <bk>
      <rc t="2" v="2185"/>
    </bk>
    <bk>
      <rc t="2" v="2186"/>
    </bk>
    <bk>
      <rc t="2" v="2187"/>
    </bk>
    <bk>
      <rc t="2" v="2188"/>
    </bk>
    <bk>
      <rc t="2" v="2189"/>
    </bk>
    <bk>
      <rc t="2" v="2190"/>
    </bk>
    <bk>
      <rc t="2" v="2191"/>
    </bk>
    <bk>
      <rc t="2" v="2192"/>
    </bk>
    <bk>
      <rc t="2" v="2193"/>
    </bk>
    <bk>
      <rc t="2" v="2194"/>
    </bk>
    <bk>
      <rc t="2" v="2195"/>
    </bk>
    <bk>
      <rc t="2" v="2196"/>
    </bk>
    <bk>
      <rc t="2" v="2197"/>
    </bk>
    <bk>
      <rc t="2" v="2198"/>
    </bk>
    <bk>
      <rc t="2" v="2199"/>
    </bk>
    <bk>
      <rc t="2" v="2200"/>
    </bk>
    <bk>
      <rc t="2" v="2201"/>
    </bk>
    <bk>
      <rc t="2" v="2202"/>
    </bk>
    <bk>
      <rc t="2" v="2203"/>
    </bk>
    <bk>
      <rc t="2" v="2204"/>
    </bk>
    <bk>
      <rc t="2" v="2205"/>
    </bk>
    <bk>
      <rc t="2" v="2206"/>
    </bk>
    <bk>
      <rc t="2" v="2207"/>
    </bk>
    <bk>
      <rc t="2" v="2208"/>
    </bk>
    <bk>
      <rc t="2" v="2209"/>
    </bk>
    <bk>
      <rc t="2" v="2210"/>
    </bk>
    <bk>
      <rc t="2" v="2211"/>
    </bk>
    <bk>
      <rc t="2" v="2212"/>
    </bk>
    <bk>
      <rc t="2" v="2213"/>
    </bk>
    <bk>
      <rc t="2" v="2214"/>
    </bk>
    <bk>
      <rc t="2" v="2215"/>
    </bk>
    <bk>
      <rc t="2" v="2216"/>
    </bk>
    <bk>
      <rc t="2" v="2217"/>
    </bk>
    <bk>
      <rc t="2" v="2218"/>
    </bk>
    <bk>
      <rc t="2" v="2219"/>
    </bk>
    <bk>
      <rc t="2" v="2220"/>
    </bk>
    <bk>
      <rc t="2" v="2221"/>
    </bk>
    <bk>
      <rc t="2" v="2222"/>
    </bk>
    <bk>
      <rc t="2" v="2223"/>
    </bk>
    <bk>
      <rc t="2" v="2224"/>
    </bk>
    <bk>
      <rc t="2" v="2225"/>
    </bk>
    <bk>
      <rc t="2" v="2226"/>
    </bk>
    <bk>
      <rc t="2" v="2227"/>
    </bk>
    <bk>
      <rc t="2" v="2228"/>
    </bk>
    <bk>
      <rc t="2" v="2229"/>
    </bk>
    <bk>
      <rc t="2" v="2230"/>
    </bk>
    <bk>
      <rc t="2" v="2231"/>
    </bk>
    <bk>
      <rc t="2" v="2232"/>
    </bk>
    <bk>
      <rc t="2" v="2233"/>
    </bk>
    <bk>
      <rc t="2" v="2234"/>
    </bk>
    <bk>
      <rc t="2" v="2235"/>
    </bk>
    <bk>
      <rc t="2" v="2236"/>
    </bk>
    <bk>
      <rc t="2" v="2237"/>
    </bk>
    <bk>
      <rc t="2" v="2238"/>
    </bk>
    <bk>
      <rc t="2" v="2239"/>
    </bk>
    <bk>
      <rc t="2" v="2240"/>
    </bk>
    <bk>
      <rc t="2" v="2241"/>
    </bk>
    <bk>
      <rc t="2" v="2242"/>
    </bk>
    <bk>
      <rc t="2" v="2243"/>
    </bk>
    <bk>
      <rc t="2" v="2244"/>
    </bk>
    <bk>
      <rc t="2" v="2245"/>
    </bk>
    <bk>
      <rc t="2" v="2246"/>
    </bk>
    <bk>
      <rc t="2" v="2247"/>
    </bk>
    <bk>
      <rc t="2" v="2248"/>
    </bk>
    <bk>
      <rc t="2" v="2249"/>
    </bk>
    <bk>
      <rc t="2" v="2250"/>
    </bk>
    <bk>
      <rc t="2" v="2251"/>
    </bk>
    <bk>
      <rc t="2" v="2252"/>
    </bk>
    <bk>
      <rc t="2" v="2253"/>
    </bk>
    <bk>
      <rc t="2" v="2254"/>
    </bk>
    <bk>
      <rc t="2" v="2255"/>
    </bk>
    <bk>
      <rc t="2" v="2256"/>
    </bk>
    <bk>
      <rc t="2" v="2257"/>
    </bk>
    <bk>
      <rc t="2" v="2258"/>
    </bk>
    <bk>
      <rc t="2" v="2259"/>
    </bk>
    <bk>
      <rc t="2" v="2260"/>
    </bk>
    <bk>
      <rc t="2" v="2261"/>
    </bk>
    <bk>
      <rc t="2" v="2262"/>
    </bk>
    <bk>
      <rc t="2" v="2263"/>
    </bk>
    <bk>
      <rc t="2" v="2264"/>
    </bk>
    <bk>
      <rc t="2" v="2265"/>
    </bk>
    <bk>
      <rc t="2" v="2266"/>
    </bk>
    <bk>
      <rc t="2" v="2267"/>
    </bk>
    <bk>
      <rc t="2" v="2268"/>
    </bk>
    <bk>
      <rc t="2" v="2269"/>
    </bk>
    <bk>
      <rc t="2" v="2270"/>
    </bk>
    <bk>
      <rc t="2" v="2271"/>
    </bk>
    <bk>
      <rc t="2" v="2272"/>
    </bk>
    <bk>
      <rc t="2" v="2273"/>
    </bk>
    <bk>
      <rc t="2" v="2274"/>
    </bk>
    <bk>
      <rc t="2" v="2275"/>
    </bk>
    <bk>
      <rc t="2" v="2276"/>
    </bk>
    <bk>
      <rc t="2" v="2277"/>
    </bk>
    <bk>
      <rc t="2" v="2278"/>
    </bk>
    <bk>
      <rc t="2" v="2279"/>
    </bk>
    <bk>
      <rc t="2" v="2280"/>
    </bk>
    <bk>
      <rc t="2" v="2281"/>
    </bk>
    <bk>
      <rc t="2" v="2282"/>
    </bk>
    <bk>
      <rc t="2" v="2283"/>
    </bk>
    <bk>
      <rc t="2" v="2284"/>
    </bk>
    <bk>
      <rc t="2" v="2285"/>
    </bk>
    <bk>
      <rc t="2" v="2286"/>
    </bk>
    <bk>
      <rc t="2" v="2287"/>
    </bk>
    <bk>
      <rc t="2" v="2288"/>
    </bk>
    <bk>
      <rc t="2" v="2289"/>
    </bk>
    <bk>
      <rc t="2" v="2290"/>
    </bk>
    <bk>
      <rc t="2" v="2291"/>
    </bk>
    <bk>
      <rc t="2" v="2292"/>
    </bk>
    <bk>
      <rc t="2" v="2293"/>
    </bk>
    <bk>
      <rc t="2" v="2294"/>
    </bk>
    <bk>
      <rc t="2" v="2295"/>
    </bk>
    <bk>
      <rc t="2" v="2296"/>
    </bk>
    <bk>
      <rc t="2" v="2297"/>
    </bk>
    <bk>
      <rc t="2" v="2298"/>
    </bk>
    <bk>
      <rc t="2" v="2299"/>
    </bk>
    <bk>
      <rc t="2" v="2300"/>
    </bk>
    <bk>
      <rc t="2" v="2301"/>
    </bk>
    <bk>
      <rc t="2" v="2302"/>
    </bk>
    <bk>
      <rc t="2" v="2303"/>
    </bk>
    <bk>
      <rc t="2" v="2304"/>
    </bk>
    <bk>
      <rc t="2" v="2305"/>
    </bk>
    <bk>
      <rc t="2" v="2306"/>
    </bk>
    <bk>
      <rc t="2" v="2307"/>
    </bk>
    <bk>
      <rc t="2" v="2308"/>
    </bk>
    <bk>
      <rc t="2" v="2309"/>
    </bk>
    <bk>
      <rc t="2" v="2310"/>
    </bk>
    <bk>
      <rc t="2" v="2311"/>
    </bk>
    <bk>
      <rc t="2" v="2312"/>
    </bk>
    <bk>
      <rc t="2" v="2313"/>
    </bk>
    <bk>
      <rc t="2" v="2314"/>
    </bk>
    <bk>
      <rc t="2" v="2315"/>
    </bk>
    <bk>
      <rc t="2" v="2316"/>
    </bk>
    <bk>
      <rc t="2" v="2317"/>
    </bk>
    <bk>
      <rc t="2" v="2318"/>
    </bk>
    <bk>
      <rc t="2" v="2319"/>
    </bk>
    <bk>
      <rc t="2" v="2320"/>
    </bk>
    <bk>
      <rc t="2" v="2321"/>
    </bk>
    <bk>
      <rc t="2" v="2322"/>
    </bk>
    <bk>
      <rc t="2" v="2323"/>
    </bk>
    <bk>
      <rc t="2" v="2324"/>
    </bk>
    <bk>
      <rc t="2" v="2325"/>
    </bk>
    <bk>
      <rc t="2" v="2326"/>
    </bk>
    <bk>
      <rc t="2" v="2327"/>
    </bk>
    <bk>
      <rc t="2" v="2328"/>
    </bk>
    <bk>
      <rc t="2" v="2329"/>
    </bk>
    <bk>
      <rc t="2" v="2330"/>
    </bk>
    <bk>
      <rc t="2" v="2331"/>
    </bk>
    <bk>
      <rc t="2" v="2332"/>
    </bk>
    <bk>
      <rc t="2" v="2333"/>
    </bk>
    <bk>
      <rc t="2" v="2334"/>
    </bk>
    <bk>
      <rc t="2" v="2335"/>
    </bk>
    <bk>
      <rc t="2" v="2336"/>
    </bk>
    <bk>
      <rc t="2" v="2337"/>
    </bk>
    <bk>
      <rc t="2" v="2338"/>
    </bk>
    <bk>
      <rc t="2" v="2339"/>
    </bk>
    <bk>
      <rc t="2" v="2340"/>
    </bk>
    <bk>
      <rc t="2" v="2341"/>
    </bk>
    <bk>
      <rc t="2" v="2342"/>
    </bk>
    <bk>
      <rc t="2" v="2343"/>
    </bk>
    <bk>
      <rc t="2" v="2344"/>
    </bk>
    <bk>
      <rc t="2" v="2345"/>
    </bk>
    <bk>
      <rc t="2" v="2346"/>
    </bk>
    <bk>
      <rc t="2" v="2347"/>
    </bk>
    <bk>
      <rc t="2" v="2348"/>
    </bk>
    <bk>
      <rc t="2" v="2349"/>
    </bk>
    <bk>
      <rc t="2" v="2350"/>
    </bk>
    <bk>
      <rc t="2" v="2351"/>
    </bk>
    <bk>
      <rc t="2" v="2352"/>
    </bk>
    <bk>
      <rc t="2" v="2353"/>
    </bk>
    <bk>
      <rc t="2" v="2354"/>
    </bk>
    <bk>
      <rc t="2" v="2355"/>
    </bk>
    <bk>
      <rc t="2" v="2356"/>
    </bk>
    <bk>
      <rc t="2" v="2357"/>
    </bk>
    <bk>
      <rc t="2" v="2358"/>
    </bk>
    <bk>
      <rc t="2" v="2359"/>
    </bk>
    <bk>
      <rc t="2" v="2360"/>
    </bk>
    <bk>
      <rc t="2" v="2361"/>
    </bk>
    <bk>
      <rc t="2" v="2362"/>
    </bk>
    <bk>
      <rc t="2" v="2363"/>
    </bk>
    <bk>
      <rc t="2" v="2364"/>
    </bk>
    <bk>
      <rc t="2" v="2365"/>
    </bk>
    <bk>
      <rc t="2" v="2366"/>
    </bk>
    <bk>
      <rc t="2" v="2367"/>
    </bk>
    <bk>
      <rc t="2" v="2368"/>
    </bk>
    <bk>
      <rc t="2" v="2369"/>
    </bk>
    <bk>
      <rc t="2" v="2370"/>
    </bk>
    <bk>
      <rc t="2" v="2371"/>
    </bk>
    <bk>
      <rc t="2" v="2372"/>
    </bk>
    <bk>
      <rc t="2" v="2373"/>
    </bk>
    <bk>
      <rc t="2" v="2374"/>
    </bk>
    <bk>
      <rc t="2" v="2375"/>
    </bk>
    <bk>
      <rc t="2" v="2376"/>
    </bk>
    <bk>
      <rc t="2" v="2377"/>
    </bk>
    <bk>
      <rc t="2" v="2378"/>
    </bk>
    <bk>
      <rc t="2" v="2379"/>
    </bk>
    <bk>
      <rc t="2" v="2380"/>
    </bk>
    <bk>
      <rc t="2" v="2381"/>
    </bk>
    <bk>
      <rc t="2" v="2382"/>
    </bk>
    <bk>
      <rc t="2" v="2383"/>
    </bk>
    <bk>
      <rc t="2" v="2384"/>
    </bk>
    <bk>
      <rc t="2" v="2385"/>
    </bk>
    <bk>
      <rc t="2" v="2386"/>
    </bk>
    <bk>
      <rc t="2" v="2387"/>
    </bk>
    <bk>
      <rc t="2" v="2388"/>
    </bk>
    <bk>
      <rc t="2" v="2389"/>
    </bk>
    <bk>
      <rc t="2" v="2390"/>
    </bk>
    <bk>
      <rc t="2" v="2391"/>
    </bk>
    <bk>
      <rc t="2" v="2392"/>
    </bk>
    <bk>
      <rc t="2" v="2393"/>
    </bk>
    <bk>
      <rc t="2" v="2394"/>
    </bk>
    <bk>
      <rc t="2" v="2395"/>
    </bk>
    <bk>
      <rc t="2" v="2396"/>
    </bk>
    <bk>
      <rc t="2" v="2397"/>
    </bk>
    <bk>
      <rc t="2" v="2398"/>
    </bk>
    <bk>
      <rc t="2" v="2399"/>
    </bk>
    <bk>
      <rc t="2" v="2400"/>
    </bk>
    <bk>
      <rc t="2" v="2401"/>
    </bk>
    <bk>
      <rc t="2" v="2402"/>
    </bk>
    <bk>
      <rc t="2" v="2403"/>
    </bk>
    <bk>
      <rc t="2" v="2404"/>
    </bk>
    <bk>
      <rc t="2" v="2405"/>
    </bk>
    <bk>
      <rc t="2" v="2406"/>
    </bk>
    <bk>
      <rc t="2" v="2407"/>
    </bk>
    <bk>
      <rc t="2" v="2408"/>
    </bk>
    <bk>
      <rc t="2" v="2409"/>
    </bk>
    <bk>
      <rc t="2" v="2410"/>
    </bk>
    <bk>
      <rc t="2" v="2411"/>
    </bk>
    <bk>
      <rc t="2" v="2412"/>
    </bk>
    <bk>
      <rc t="2" v="2413"/>
    </bk>
    <bk>
      <rc t="2" v="2414"/>
    </bk>
    <bk>
      <rc t="2" v="2415"/>
    </bk>
    <bk>
      <rc t="2" v="2416"/>
    </bk>
    <bk>
      <rc t="2" v="2417"/>
    </bk>
    <bk>
      <rc t="2" v="2418"/>
    </bk>
    <bk>
      <rc t="2" v="2419"/>
    </bk>
    <bk>
      <rc t="2" v="2420"/>
    </bk>
    <bk>
      <rc t="2" v="2421"/>
    </bk>
    <bk>
      <rc t="2" v="2422"/>
    </bk>
    <bk>
      <rc t="2" v="2423"/>
    </bk>
    <bk>
      <rc t="2" v="2424"/>
    </bk>
    <bk>
      <rc t="2" v="2425"/>
    </bk>
    <bk>
      <rc t="2" v="2426"/>
    </bk>
    <bk>
      <rc t="2" v="2427"/>
    </bk>
    <bk>
      <rc t="2" v="2428"/>
    </bk>
    <bk>
      <rc t="2" v="2429"/>
    </bk>
    <bk>
      <rc t="2" v="2430"/>
    </bk>
    <bk>
      <rc t="2" v="2431"/>
    </bk>
    <bk>
      <rc t="2" v="2432"/>
    </bk>
    <bk>
      <rc t="2" v="2433"/>
    </bk>
    <bk>
      <rc t="2" v="2434"/>
    </bk>
    <bk>
      <rc t="2" v="2435"/>
    </bk>
    <bk>
      <rc t="2" v="2436"/>
    </bk>
    <bk>
      <rc t="2" v="2437"/>
    </bk>
    <bk>
      <rc t="2" v="2438"/>
    </bk>
    <bk>
      <rc t="2" v="2439"/>
    </bk>
    <bk>
      <rc t="2" v="2440"/>
    </bk>
    <bk>
      <rc t="2" v="2441"/>
    </bk>
    <bk>
      <rc t="2" v="2442"/>
    </bk>
    <bk>
      <rc t="2" v="2443"/>
    </bk>
    <bk>
      <rc t="2" v="2444"/>
    </bk>
    <bk>
      <rc t="2" v="2445"/>
    </bk>
    <bk>
      <rc t="2" v="2446"/>
    </bk>
    <bk>
      <rc t="2" v="2447"/>
    </bk>
    <bk>
      <rc t="2" v="2448"/>
    </bk>
    <bk>
      <rc t="2" v="2449"/>
    </bk>
    <bk>
      <rc t="2" v="2450"/>
    </bk>
    <bk>
      <rc t="2" v="2451"/>
    </bk>
    <bk>
      <rc t="2" v="2452"/>
    </bk>
    <bk>
      <rc t="2" v="2453"/>
    </bk>
    <bk>
      <rc t="2" v="2454"/>
    </bk>
    <bk>
      <rc t="2" v="2455"/>
    </bk>
    <bk>
      <rc t="2" v="2456"/>
    </bk>
    <bk>
      <rc t="2" v="2457"/>
    </bk>
    <bk>
      <rc t="2" v="2458"/>
    </bk>
    <bk>
      <rc t="2" v="2459"/>
    </bk>
    <bk>
      <rc t="2" v="2460"/>
    </bk>
    <bk>
      <rc t="2" v="2461"/>
    </bk>
    <bk>
      <rc t="2" v="2462"/>
    </bk>
    <bk>
      <rc t="2" v="2463"/>
    </bk>
    <bk>
      <rc t="2" v="2464"/>
    </bk>
    <bk>
      <rc t="2" v="2465"/>
    </bk>
    <bk>
      <rc t="2" v="2466"/>
    </bk>
    <bk>
      <rc t="2" v="2467"/>
    </bk>
    <bk>
      <rc t="2" v="2468"/>
    </bk>
    <bk>
      <rc t="2" v="2469"/>
    </bk>
    <bk>
      <rc t="2" v="2470"/>
    </bk>
    <bk>
      <rc t="2" v="2471"/>
    </bk>
    <bk>
      <rc t="2" v="2472"/>
    </bk>
    <bk>
      <rc t="2" v="2473"/>
    </bk>
    <bk>
      <rc t="2" v="2474"/>
    </bk>
    <bk>
      <rc t="2" v="2475"/>
    </bk>
    <bk>
      <rc t="2" v="2476"/>
    </bk>
    <bk>
      <rc t="2" v="2477"/>
    </bk>
    <bk>
      <rc t="2" v="2478"/>
    </bk>
    <bk>
      <rc t="2" v="2479"/>
    </bk>
    <bk>
      <rc t="2" v="2480"/>
    </bk>
    <bk>
      <rc t="2" v="2481"/>
    </bk>
    <bk>
      <rc t="2" v="2482"/>
    </bk>
    <bk>
      <rc t="2" v="2483"/>
    </bk>
    <bk>
      <rc t="2" v="2484"/>
    </bk>
    <bk>
      <rc t="2" v="2485"/>
    </bk>
    <bk>
      <rc t="2" v="2486"/>
    </bk>
    <bk>
      <rc t="2" v="2487"/>
    </bk>
    <bk>
      <rc t="2" v="2488"/>
    </bk>
    <bk>
      <rc t="2" v="2489"/>
    </bk>
    <bk>
      <rc t="2" v="2490"/>
    </bk>
    <bk>
      <rc t="2" v="2491"/>
    </bk>
    <bk>
      <rc t="2" v="2492"/>
    </bk>
    <bk>
      <rc t="2" v="2493"/>
    </bk>
    <bk>
      <rc t="2" v="2494"/>
    </bk>
    <bk>
      <rc t="2" v="2495"/>
    </bk>
    <bk>
      <rc t="2" v="2496"/>
    </bk>
    <bk>
      <rc t="2" v="2497"/>
    </bk>
    <bk>
      <rc t="2" v="2498"/>
    </bk>
    <bk>
      <rc t="2" v="2499"/>
    </bk>
    <bk>
      <rc t="2" v="2500"/>
    </bk>
    <bk>
      <rc t="2" v="2501"/>
    </bk>
    <bk>
      <rc t="2" v="2502"/>
    </bk>
    <bk>
      <rc t="2" v="2503"/>
    </bk>
    <bk>
      <rc t="2" v="2504"/>
    </bk>
    <bk>
      <rc t="2" v="2505"/>
    </bk>
    <bk>
      <rc t="2" v="2506"/>
    </bk>
    <bk>
      <rc t="2" v="2507"/>
    </bk>
    <bk>
      <rc t="2" v="2508"/>
    </bk>
    <bk>
      <rc t="2" v="2509"/>
    </bk>
    <bk>
      <rc t="2" v="2510"/>
    </bk>
    <bk>
      <rc t="2" v="2511"/>
    </bk>
    <bk>
      <rc t="2" v="2512"/>
    </bk>
    <bk>
      <rc t="2" v="2513"/>
    </bk>
    <bk>
      <rc t="2" v="2514"/>
    </bk>
    <bk>
      <rc t="2" v="2515"/>
    </bk>
    <bk>
      <rc t="2" v="2516"/>
    </bk>
    <bk>
      <rc t="2" v="2517"/>
    </bk>
    <bk>
      <rc t="2" v="2518"/>
    </bk>
    <bk>
      <rc t="2" v="2519"/>
    </bk>
    <bk>
      <rc t="2" v="2520"/>
    </bk>
    <bk>
      <rc t="2" v="2521"/>
    </bk>
    <bk>
      <rc t="2" v="2522"/>
    </bk>
    <bk>
      <rc t="2" v="2523"/>
    </bk>
    <bk>
      <rc t="2" v="2524"/>
    </bk>
    <bk>
      <rc t="2" v="2525"/>
    </bk>
    <bk>
      <rc t="2" v="2526"/>
    </bk>
    <bk>
      <rc t="2" v="2527"/>
    </bk>
    <bk>
      <rc t="2" v="2528"/>
    </bk>
    <bk>
      <rc t="2" v="2529"/>
    </bk>
    <bk>
      <rc t="2" v="2530"/>
    </bk>
    <bk>
      <rc t="2" v="2531"/>
    </bk>
    <bk>
      <rc t="2" v="2532"/>
    </bk>
    <bk>
      <rc t="2" v="2533"/>
    </bk>
    <bk>
      <rc t="2" v="2534"/>
    </bk>
    <bk>
      <rc t="2" v="2535"/>
    </bk>
    <bk>
      <rc t="2" v="2536"/>
    </bk>
    <bk>
      <rc t="2" v="2537"/>
    </bk>
    <bk>
      <rc t="2" v="2538"/>
    </bk>
    <bk>
      <rc t="2" v="2539"/>
    </bk>
    <bk>
      <rc t="2" v="2540"/>
    </bk>
    <bk>
      <rc t="2" v="2541"/>
    </bk>
    <bk>
      <rc t="2" v="2542"/>
    </bk>
    <bk>
      <rc t="2" v="2543"/>
    </bk>
    <bk>
      <rc t="2" v="2544"/>
    </bk>
    <bk>
      <rc t="2" v="2545"/>
    </bk>
    <bk>
      <rc t="2" v="2546"/>
    </bk>
    <bk>
      <rc t="2" v="2547"/>
    </bk>
    <bk>
      <rc t="2" v="2548"/>
    </bk>
    <bk>
      <rc t="2" v="2549"/>
    </bk>
    <bk>
      <rc t="2" v="2550"/>
    </bk>
    <bk>
      <rc t="2" v="2551"/>
    </bk>
    <bk>
      <rc t="2" v="2552"/>
    </bk>
    <bk>
      <rc t="2" v="2553"/>
    </bk>
    <bk>
      <rc t="2" v="2554"/>
    </bk>
    <bk>
      <rc t="2" v="2555"/>
    </bk>
    <bk>
      <rc t="2" v="2556"/>
    </bk>
    <bk>
      <rc t="2" v="2557"/>
    </bk>
    <bk>
      <rc t="2" v="2558"/>
    </bk>
    <bk>
      <rc t="2" v="2559"/>
    </bk>
    <bk>
      <rc t="2" v="2560"/>
    </bk>
    <bk>
      <rc t="2" v="2561"/>
    </bk>
    <bk>
      <rc t="2" v="2562"/>
    </bk>
    <bk>
      <rc t="2" v="2563"/>
    </bk>
    <bk>
      <rc t="2" v="2564"/>
    </bk>
    <bk>
      <rc t="2" v="2565"/>
    </bk>
    <bk>
      <rc t="2" v="2566"/>
    </bk>
    <bk>
      <rc t="2" v="2567"/>
    </bk>
    <bk>
      <rc t="2" v="2568"/>
    </bk>
    <bk>
      <rc t="2" v="2569"/>
    </bk>
    <bk>
      <rc t="2" v="2570"/>
    </bk>
    <bk>
      <rc t="2" v="2571"/>
    </bk>
    <bk>
      <rc t="2" v="2572"/>
    </bk>
    <bk>
      <rc t="2" v="2573"/>
    </bk>
    <bk>
      <rc t="2" v="2574"/>
    </bk>
    <bk>
      <rc t="2" v="2575"/>
    </bk>
    <bk>
      <rc t="2" v="2576"/>
    </bk>
    <bk>
      <rc t="2" v="2577"/>
    </bk>
    <bk>
      <rc t="2" v="2578"/>
    </bk>
    <bk>
      <rc t="2" v="2579"/>
    </bk>
    <bk>
      <rc t="2" v="2580"/>
    </bk>
    <bk>
      <rc t="2" v="2581"/>
    </bk>
    <bk>
      <rc t="2" v="2582"/>
    </bk>
    <bk>
      <rc t="2" v="2583"/>
    </bk>
    <bk>
      <rc t="2" v="2584"/>
    </bk>
    <bk>
      <rc t="2" v="2585"/>
    </bk>
    <bk>
      <rc t="2" v="2586"/>
    </bk>
    <bk>
      <rc t="2" v="2587"/>
    </bk>
    <bk>
      <rc t="2" v="2588"/>
    </bk>
    <bk>
      <rc t="2" v="2589"/>
    </bk>
    <bk>
      <rc t="2" v="2590"/>
    </bk>
    <bk>
      <rc t="2" v="2591"/>
    </bk>
    <bk>
      <rc t="2" v="2592"/>
    </bk>
    <bk>
      <rc t="2" v="2593"/>
    </bk>
    <bk>
      <rc t="2" v="2594"/>
    </bk>
    <bk>
      <rc t="2" v="2595"/>
    </bk>
    <bk>
      <rc t="2" v="2596"/>
    </bk>
    <bk>
      <rc t="2" v="2597"/>
    </bk>
    <bk>
      <rc t="2" v="2598"/>
    </bk>
    <bk>
      <rc t="2" v="2599"/>
    </bk>
    <bk>
      <rc t="2" v="2600"/>
    </bk>
    <bk>
      <rc t="2" v="2601"/>
    </bk>
    <bk>
      <rc t="2" v="2602"/>
    </bk>
    <bk>
      <rc t="2" v="2603"/>
    </bk>
    <bk>
      <rc t="2" v="2604"/>
    </bk>
    <bk>
      <rc t="2" v="2605"/>
    </bk>
    <bk>
      <rc t="2" v="2606"/>
    </bk>
    <bk>
      <rc t="2" v="2607"/>
    </bk>
    <bk>
      <rc t="2" v="2608"/>
    </bk>
    <bk>
      <rc t="2" v="2609"/>
    </bk>
    <bk>
      <rc t="2" v="2610"/>
    </bk>
    <bk>
      <rc t="2" v="2611"/>
    </bk>
    <bk>
      <rc t="2" v="2612"/>
    </bk>
    <bk>
      <rc t="2" v="2613"/>
    </bk>
    <bk>
      <rc t="2" v="2614"/>
    </bk>
    <bk>
      <rc t="2" v="2615"/>
    </bk>
    <bk>
      <rc t="2" v="2616"/>
    </bk>
    <bk>
      <rc t="2" v="2617"/>
    </bk>
    <bk>
      <rc t="2" v="2618"/>
    </bk>
    <bk>
      <rc t="2" v="2619"/>
    </bk>
    <bk>
      <rc t="2" v="2620"/>
    </bk>
    <bk>
      <rc t="2" v="2621"/>
    </bk>
    <bk>
      <rc t="2" v="2622"/>
    </bk>
    <bk>
      <rc t="2" v="2623"/>
    </bk>
    <bk>
      <rc t="2" v="2624"/>
    </bk>
    <bk>
      <rc t="2" v="2625"/>
    </bk>
    <bk>
      <rc t="2" v="2626"/>
    </bk>
    <bk>
      <rc t="2" v="2627"/>
    </bk>
    <bk>
      <rc t="2" v="2628"/>
    </bk>
    <bk>
      <rc t="2" v="2629"/>
    </bk>
    <bk>
      <rc t="2" v="2630"/>
    </bk>
    <bk>
      <rc t="2" v="2631"/>
    </bk>
    <bk>
      <rc t="2" v="2632"/>
    </bk>
    <bk>
      <rc t="2" v="2633"/>
    </bk>
    <bk>
      <rc t="2" v="2634"/>
    </bk>
    <bk>
      <rc t="2" v="2635"/>
    </bk>
    <bk>
      <rc t="2" v="2636"/>
    </bk>
    <bk>
      <rc t="2" v="2637"/>
    </bk>
    <bk>
      <rc t="2" v="2638"/>
    </bk>
    <bk>
      <rc t="2" v="2639"/>
    </bk>
    <bk>
      <rc t="2" v="2640"/>
    </bk>
    <bk>
      <rc t="2" v="2641"/>
    </bk>
    <bk>
      <rc t="2" v="2642"/>
    </bk>
    <bk>
      <rc t="2" v="2643"/>
    </bk>
    <bk>
      <rc t="2" v="2644"/>
    </bk>
    <bk>
      <rc t="2" v="2645"/>
    </bk>
    <bk>
      <rc t="2" v="2646"/>
    </bk>
    <bk>
      <rc t="2" v="2647"/>
    </bk>
    <bk>
      <rc t="2" v="2648"/>
    </bk>
    <bk>
      <rc t="2" v="2649"/>
    </bk>
    <bk>
      <rc t="2" v="2650"/>
    </bk>
    <bk>
      <rc t="2" v="2651"/>
    </bk>
    <bk>
      <rc t="2" v="2652"/>
    </bk>
    <bk>
      <rc t="2" v="2653"/>
    </bk>
    <bk>
      <rc t="2" v="2654"/>
    </bk>
    <bk>
      <rc t="2" v="2655"/>
    </bk>
    <bk>
      <rc t="2" v="2656"/>
    </bk>
    <bk>
      <rc t="2" v="2657"/>
    </bk>
    <bk>
      <rc t="2" v="2658"/>
    </bk>
    <bk>
      <rc t="2" v="2659"/>
    </bk>
    <bk>
      <rc t="2" v="2660"/>
    </bk>
    <bk>
      <rc t="2" v="2661"/>
    </bk>
    <bk>
      <rc t="2" v="2662"/>
    </bk>
    <bk>
      <rc t="2" v="2663"/>
    </bk>
    <bk>
      <rc t="2" v="2664"/>
    </bk>
    <bk>
      <rc t="2" v="2665"/>
    </bk>
    <bk>
      <rc t="2" v="2666"/>
    </bk>
    <bk>
      <rc t="2" v="2667"/>
    </bk>
    <bk>
      <rc t="2" v="2668"/>
    </bk>
    <bk>
      <rc t="2" v="2669"/>
    </bk>
    <bk>
      <rc t="2" v="2670"/>
    </bk>
    <bk>
      <rc t="2" v="2671"/>
    </bk>
    <bk>
      <rc t="2" v="2672"/>
    </bk>
    <bk>
      <rc t="2" v="2673"/>
    </bk>
    <bk>
      <rc t="2" v="2674"/>
    </bk>
    <bk>
      <rc t="2" v="2675"/>
    </bk>
    <bk>
      <rc t="2" v="2676"/>
    </bk>
    <bk>
      <rc t="2" v="2677"/>
    </bk>
    <bk>
      <rc t="2" v="2678"/>
    </bk>
    <bk>
      <rc t="2" v="2679"/>
    </bk>
    <bk>
      <rc t="2" v="2680"/>
    </bk>
    <bk>
      <rc t="2" v="2681"/>
    </bk>
    <bk>
      <rc t="2" v="2682"/>
    </bk>
    <bk>
      <rc t="2" v="2683"/>
    </bk>
    <bk>
      <rc t="2" v="2684"/>
    </bk>
    <bk>
      <rc t="2" v="2685"/>
    </bk>
    <bk>
      <rc t="2" v="2686"/>
    </bk>
    <bk>
      <rc t="2" v="2687"/>
    </bk>
    <bk>
      <rc t="2" v="2688"/>
    </bk>
    <bk>
      <rc t="2" v="2689"/>
    </bk>
    <bk>
      <rc t="2" v="2690"/>
    </bk>
    <bk>
      <rc t="2" v="2691"/>
    </bk>
    <bk>
      <rc t="2" v="2692"/>
    </bk>
    <bk>
      <rc t="2" v="2693"/>
    </bk>
    <bk>
      <rc t="2" v="2694"/>
    </bk>
    <bk>
      <rc t="2" v="2695"/>
    </bk>
    <bk>
      <rc t="2" v="2696"/>
    </bk>
    <bk>
      <rc t="2" v="2697"/>
    </bk>
    <bk>
      <rc t="2" v="2698"/>
    </bk>
    <bk>
      <rc t="2" v="2699"/>
    </bk>
    <bk>
      <rc t="2" v="2700"/>
    </bk>
    <bk>
      <rc t="2" v="2701"/>
    </bk>
    <bk>
      <rc t="2" v="2702"/>
    </bk>
    <bk>
      <rc t="2" v="2703"/>
    </bk>
    <bk>
      <rc t="2" v="2704"/>
    </bk>
    <bk>
      <rc t="2" v="2705"/>
    </bk>
    <bk>
      <rc t="2" v="2706"/>
    </bk>
    <bk>
      <rc t="2" v="2707"/>
    </bk>
    <bk>
      <rc t="2" v="2708"/>
    </bk>
    <bk>
      <rc t="2" v="2709"/>
    </bk>
    <bk>
      <rc t="2" v="2710"/>
    </bk>
    <bk>
      <rc t="2" v="2711"/>
    </bk>
    <bk>
      <rc t="2" v="2712"/>
    </bk>
    <bk>
      <rc t="2" v="2713"/>
    </bk>
    <bk>
      <rc t="2" v="2714"/>
    </bk>
    <bk>
      <rc t="2" v="2715"/>
    </bk>
    <bk>
      <rc t="2" v="2716"/>
    </bk>
    <bk>
      <rc t="2" v="2717"/>
    </bk>
    <bk>
      <rc t="2" v="2718"/>
    </bk>
    <bk>
      <rc t="2" v="2719"/>
    </bk>
    <bk>
      <rc t="2" v="2720"/>
    </bk>
    <bk>
      <rc t="2" v="2721"/>
    </bk>
    <bk>
      <rc t="2" v="2722"/>
    </bk>
    <bk>
      <rc t="2" v="2723"/>
    </bk>
    <bk>
      <rc t="2" v="2724"/>
    </bk>
    <bk>
      <rc t="2" v="2725"/>
    </bk>
    <bk>
      <rc t="2" v="2726"/>
    </bk>
    <bk>
      <rc t="2" v="2727"/>
    </bk>
    <bk>
      <rc t="2" v="2728"/>
    </bk>
    <bk>
      <rc t="2" v="2729"/>
    </bk>
    <bk>
      <rc t="2" v="2730"/>
    </bk>
    <bk>
      <rc t="2" v="2731"/>
    </bk>
    <bk>
      <rc t="2" v="2732"/>
    </bk>
    <bk>
      <rc t="2" v="2733"/>
    </bk>
    <bk>
      <rc t="2" v="2734"/>
    </bk>
    <bk>
      <rc t="2" v="2735"/>
    </bk>
    <bk>
      <rc t="2" v="2736"/>
    </bk>
    <bk>
      <rc t="2" v="2737"/>
    </bk>
    <bk>
      <rc t="2" v="2738"/>
    </bk>
    <bk>
      <rc t="2" v="2739"/>
    </bk>
    <bk>
      <rc t="2" v="2740"/>
    </bk>
    <bk>
      <rc t="2" v="2741"/>
    </bk>
    <bk>
      <rc t="2" v="2742"/>
    </bk>
    <bk>
      <rc t="2" v="2743"/>
    </bk>
    <bk>
      <rc t="2" v="2744"/>
    </bk>
    <bk>
      <rc t="2" v="2745"/>
    </bk>
    <bk>
      <rc t="2" v="2746"/>
    </bk>
    <bk>
      <rc t="2" v="2747"/>
    </bk>
    <bk>
      <rc t="2" v="2748"/>
    </bk>
    <bk>
      <rc t="2" v="2749"/>
    </bk>
    <bk>
      <rc t="2" v="2750"/>
    </bk>
    <bk>
      <rc t="2" v="2751"/>
    </bk>
    <bk>
      <rc t="2" v="2752"/>
    </bk>
    <bk>
      <rc t="2" v="2753"/>
    </bk>
    <bk>
      <rc t="2" v="2754"/>
    </bk>
    <bk>
      <rc t="2" v="2755"/>
    </bk>
    <bk>
      <rc t="2" v="2756"/>
    </bk>
    <bk>
      <rc t="2" v="2757"/>
    </bk>
    <bk>
      <rc t="2" v="2758"/>
    </bk>
    <bk>
      <rc t="2" v="2759"/>
    </bk>
    <bk>
      <rc t="2" v="2760"/>
    </bk>
    <bk>
      <rc t="2" v="2761"/>
    </bk>
    <bk>
      <rc t="2" v="2762"/>
    </bk>
    <bk>
      <rc t="2" v="2763"/>
    </bk>
    <bk>
      <rc t="2" v="2764"/>
    </bk>
    <bk>
      <rc t="2" v="2765"/>
    </bk>
    <bk>
      <rc t="2" v="2766"/>
    </bk>
    <bk>
      <rc t="2" v="2767"/>
    </bk>
    <bk>
      <rc t="2" v="2768"/>
    </bk>
    <bk>
      <rc t="2" v="2769"/>
    </bk>
    <bk>
      <rc t="2" v="2770"/>
    </bk>
    <bk>
      <rc t="2" v="2771"/>
    </bk>
    <bk>
      <rc t="2" v="2772"/>
    </bk>
    <bk>
      <rc t="2" v="2773"/>
    </bk>
    <bk>
      <rc t="2" v="2774"/>
    </bk>
    <bk>
      <rc t="2" v="2775"/>
    </bk>
    <bk>
      <rc t="2" v="2776"/>
    </bk>
    <bk>
      <rc t="2" v="2777"/>
    </bk>
    <bk>
      <rc t="2" v="2778"/>
    </bk>
    <bk>
      <rc t="2" v="2779"/>
    </bk>
    <bk>
      <rc t="2" v="2780"/>
    </bk>
    <bk>
      <rc t="2" v="2781"/>
    </bk>
    <bk>
      <rc t="2" v="2782"/>
    </bk>
    <bk>
      <rc t="2" v="2783"/>
    </bk>
    <bk>
      <rc t="2" v="2784"/>
    </bk>
    <bk>
      <rc t="2" v="2785"/>
    </bk>
    <bk>
      <rc t="2" v="2786"/>
    </bk>
    <bk>
      <rc t="2" v="2787"/>
    </bk>
    <bk>
      <rc t="2" v="2788"/>
    </bk>
    <bk>
      <rc t="2" v="2789"/>
    </bk>
    <bk>
      <rc t="2" v="2790"/>
    </bk>
    <bk>
      <rc t="2" v="2791"/>
    </bk>
    <bk>
      <rc t="2" v="2792"/>
    </bk>
    <bk>
      <rc t="2" v="2793"/>
    </bk>
    <bk>
      <rc t="2" v="2794"/>
    </bk>
    <bk>
      <rc t="2" v="2795"/>
    </bk>
    <bk>
      <rc t="2" v="2796"/>
    </bk>
    <bk>
      <rc t="2" v="2797"/>
    </bk>
    <bk>
      <rc t="2" v="2798"/>
    </bk>
    <bk>
      <rc t="2" v="2799"/>
    </bk>
    <bk>
      <rc t="2" v="2800"/>
    </bk>
    <bk>
      <rc t="2" v="2801"/>
    </bk>
    <bk>
      <rc t="2" v="2802"/>
    </bk>
    <bk>
      <rc t="2" v="2803"/>
    </bk>
    <bk>
      <rc t="2" v="2804"/>
    </bk>
    <bk>
      <rc t="2" v="2805"/>
    </bk>
    <bk>
      <rc t="2" v="2806"/>
    </bk>
    <bk>
      <rc t="2" v="2807"/>
    </bk>
    <bk>
      <rc t="2" v="2808"/>
    </bk>
    <bk>
      <rc t="2" v="2809"/>
    </bk>
    <bk>
      <rc t="2" v="2810"/>
    </bk>
    <bk>
      <rc t="2" v="2811"/>
    </bk>
    <bk>
      <rc t="2" v="2812"/>
    </bk>
    <bk>
      <rc t="2" v="2813"/>
    </bk>
    <bk>
      <rc t="2" v="2814"/>
    </bk>
    <bk>
      <rc t="2" v="2815"/>
    </bk>
    <bk>
      <rc t="2" v="2816"/>
    </bk>
    <bk>
      <rc t="2" v="2817"/>
    </bk>
    <bk>
      <rc t="2" v="2818"/>
    </bk>
    <bk>
      <rc t="2" v="2819"/>
    </bk>
    <bk>
      <rc t="2" v="2820"/>
    </bk>
    <bk>
      <rc t="2" v="2821"/>
    </bk>
    <bk>
      <rc t="2" v="2822"/>
    </bk>
    <bk>
      <rc t="2" v="2823"/>
    </bk>
    <bk>
      <rc t="2" v="2824"/>
    </bk>
    <bk>
      <rc t="2" v="2825"/>
    </bk>
    <bk>
      <rc t="2" v="2826"/>
    </bk>
    <bk>
      <rc t="2" v="2827"/>
    </bk>
    <bk>
      <rc t="2" v="2828"/>
    </bk>
    <bk>
      <rc t="2" v="2829"/>
    </bk>
    <bk>
      <rc t="2" v="2830"/>
    </bk>
    <bk>
      <rc t="2" v="2831"/>
    </bk>
    <bk>
      <rc t="2" v="2832"/>
    </bk>
    <bk>
      <rc t="2" v="2833"/>
    </bk>
    <bk>
      <rc t="2" v="2834"/>
    </bk>
    <bk>
      <rc t="2" v="2835"/>
    </bk>
    <bk>
      <rc t="2" v="2836"/>
    </bk>
    <bk>
      <rc t="2" v="2837"/>
    </bk>
    <bk>
      <rc t="2" v="2838"/>
    </bk>
    <bk>
      <rc t="2" v="2839"/>
    </bk>
    <bk>
      <rc t="2" v="2840"/>
    </bk>
    <bk>
      <rc t="2" v="2841"/>
    </bk>
    <bk>
      <rc t="2" v="2842"/>
    </bk>
    <bk>
      <rc t="2" v="2843"/>
    </bk>
    <bk>
      <rc t="2" v="2844"/>
    </bk>
    <bk>
      <rc t="2" v="2845"/>
    </bk>
    <bk>
      <rc t="2" v="2846"/>
    </bk>
    <bk>
      <rc t="2" v="2847"/>
    </bk>
    <bk>
      <rc t="2" v="2848"/>
    </bk>
    <bk>
      <rc t="2" v="2849"/>
    </bk>
    <bk>
      <rc t="2" v="2850"/>
    </bk>
    <bk>
      <rc t="2" v="2851"/>
    </bk>
    <bk>
      <rc t="2" v="2852"/>
    </bk>
    <bk>
      <rc t="2" v="2853"/>
    </bk>
    <bk>
      <rc t="2" v="2854"/>
    </bk>
    <bk>
      <rc t="2" v="2855"/>
    </bk>
    <bk>
      <rc t="2" v="2856"/>
    </bk>
    <bk>
      <rc t="2" v="2857"/>
    </bk>
    <bk>
      <rc t="2" v="2858"/>
    </bk>
    <bk>
      <rc t="2" v="2859"/>
    </bk>
    <bk>
      <rc t="2" v="2860"/>
    </bk>
    <bk>
      <rc t="2" v="2861"/>
    </bk>
    <bk>
      <rc t="2" v="2862"/>
    </bk>
    <bk>
      <rc t="2" v="2863"/>
    </bk>
    <bk>
      <rc t="2" v="2864"/>
    </bk>
    <bk>
      <rc t="2" v="2865"/>
    </bk>
    <bk>
      <rc t="2" v="2866"/>
    </bk>
    <bk>
      <rc t="2" v="2867"/>
    </bk>
    <bk>
      <rc t="2" v="2868"/>
    </bk>
    <bk>
      <rc t="2" v="2869"/>
    </bk>
    <bk>
      <rc t="2" v="2870"/>
    </bk>
    <bk>
      <rc t="2" v="2871"/>
    </bk>
    <bk>
      <rc t="2" v="2872"/>
    </bk>
    <bk>
      <rc t="2" v="2873"/>
    </bk>
    <bk>
      <rc t="2" v="2874"/>
    </bk>
    <bk>
      <rc t="2" v="2875"/>
    </bk>
    <bk>
      <rc t="2" v="2876"/>
    </bk>
    <bk>
      <rc t="2" v="2877"/>
    </bk>
    <bk>
      <rc t="2" v="2878"/>
    </bk>
    <bk>
      <rc t="2" v="2879"/>
    </bk>
    <bk>
      <rc t="2" v="2880"/>
    </bk>
    <bk>
      <rc t="2" v="2881"/>
    </bk>
    <bk>
      <rc t="2" v="2882"/>
    </bk>
    <bk>
      <rc t="2" v="2883"/>
    </bk>
    <bk>
      <rc t="2" v="2884"/>
    </bk>
    <bk>
      <rc t="2" v="2885"/>
    </bk>
    <bk>
      <rc t="2" v="2886"/>
    </bk>
    <bk>
      <rc t="2" v="2887"/>
    </bk>
    <bk>
      <rc t="2" v="2888"/>
    </bk>
    <bk>
      <rc t="2" v="2889"/>
    </bk>
    <bk>
      <rc t="2" v="2890"/>
    </bk>
    <bk>
      <rc t="2" v="2891"/>
    </bk>
    <bk>
      <rc t="2" v="2892"/>
    </bk>
    <bk>
      <rc t="2" v="2893"/>
    </bk>
    <bk>
      <rc t="2" v="2894"/>
    </bk>
    <bk>
      <rc t="2" v="2895"/>
    </bk>
    <bk>
      <rc t="2" v="2896"/>
    </bk>
    <bk>
      <rc t="2" v="2897"/>
    </bk>
    <bk>
      <rc t="2" v="2898"/>
    </bk>
    <bk>
      <rc t="2" v="2899"/>
    </bk>
    <bk>
      <rc t="2" v="2900"/>
    </bk>
    <bk>
      <rc t="2" v="2901"/>
    </bk>
    <bk>
      <rc t="2" v="2902"/>
    </bk>
    <bk>
      <rc t="2" v="2903"/>
    </bk>
    <bk>
      <rc t="2" v="2904"/>
    </bk>
    <bk>
      <rc t="2" v="2905"/>
    </bk>
    <bk>
      <rc t="2" v="2906"/>
    </bk>
    <bk>
      <rc t="2" v="2907"/>
    </bk>
    <bk>
      <rc t="2" v="2908"/>
    </bk>
    <bk>
      <rc t="2" v="2909"/>
    </bk>
    <bk>
      <rc t="2" v="2910"/>
    </bk>
    <bk>
      <rc t="2" v="2911"/>
    </bk>
    <bk>
      <rc t="2" v="2912"/>
    </bk>
    <bk>
      <rc t="2" v="2913"/>
    </bk>
    <bk>
      <rc t="2" v="2914"/>
    </bk>
    <bk>
      <rc t="2" v="2915"/>
    </bk>
    <bk>
      <rc t="2" v="2916"/>
    </bk>
    <bk>
      <rc t="2" v="2917"/>
    </bk>
    <bk>
      <rc t="2" v="2918"/>
    </bk>
    <bk>
      <rc t="2" v="2919"/>
    </bk>
    <bk>
      <rc t="2" v="2920"/>
    </bk>
    <bk>
      <rc t="2" v="2921"/>
    </bk>
    <bk>
      <rc t="2" v="2922"/>
    </bk>
    <bk>
      <rc t="2" v="2923"/>
    </bk>
    <bk>
      <rc t="2" v="2924"/>
    </bk>
    <bk>
      <rc t="2" v="2925"/>
    </bk>
    <bk>
      <rc t="2" v="2926"/>
    </bk>
    <bk>
      <rc t="2" v="2927"/>
    </bk>
    <bk>
      <rc t="2" v="2928"/>
    </bk>
    <bk>
      <rc t="2" v="2929"/>
    </bk>
    <bk>
      <rc t="2" v="2930"/>
    </bk>
    <bk>
      <rc t="2" v="2931"/>
    </bk>
    <bk>
      <rc t="2" v="2932"/>
    </bk>
    <bk>
      <rc t="2" v="2933"/>
    </bk>
    <bk>
      <rc t="2" v="2934"/>
    </bk>
    <bk>
      <rc t="2" v="2935"/>
    </bk>
    <bk>
      <rc t="2" v="2936"/>
    </bk>
    <bk>
      <rc t="2" v="2937"/>
    </bk>
    <bk>
      <rc t="2" v="2938"/>
    </bk>
    <bk>
      <rc t="2" v="2939"/>
    </bk>
    <bk>
      <rc t="2" v="2940"/>
    </bk>
    <bk>
      <rc t="2" v="2941"/>
    </bk>
    <bk>
      <rc t="2" v="2942"/>
    </bk>
    <bk>
      <rc t="2" v="2943"/>
    </bk>
    <bk>
      <rc t="2" v="2944"/>
    </bk>
    <bk>
      <rc t="2" v="2945"/>
    </bk>
    <bk>
      <rc t="2" v="2946"/>
    </bk>
    <bk>
      <rc t="2" v="2947"/>
    </bk>
    <bk>
      <rc t="2" v="2948"/>
    </bk>
    <bk>
      <rc t="2" v="2949"/>
    </bk>
    <bk>
      <rc t="2" v="2950"/>
    </bk>
    <bk>
      <rc t="2" v="2951"/>
    </bk>
    <bk>
      <rc t="2" v="2952"/>
    </bk>
    <bk>
      <rc t="2" v="2953"/>
    </bk>
    <bk>
      <rc t="2" v="2954"/>
    </bk>
    <bk>
      <rc t="2" v="2955"/>
    </bk>
    <bk>
      <rc t="2" v="2956"/>
    </bk>
    <bk>
      <rc t="2" v="2957"/>
    </bk>
    <bk>
      <rc t="2" v="2958"/>
    </bk>
    <bk>
      <rc t="2" v="2959"/>
    </bk>
    <bk>
      <rc t="2" v="2960"/>
    </bk>
    <bk>
      <rc t="2" v="2961"/>
    </bk>
    <bk>
      <rc t="2" v="2962"/>
    </bk>
    <bk>
      <rc t="2" v="2963"/>
    </bk>
    <bk>
      <rc t="2" v="2964"/>
    </bk>
    <bk>
      <rc t="2" v="2965"/>
    </bk>
    <bk>
      <rc t="2" v="2966"/>
    </bk>
    <bk>
      <rc t="2" v="2967"/>
    </bk>
    <bk>
      <rc t="2" v="2968"/>
    </bk>
    <bk>
      <rc t="2" v="2969"/>
    </bk>
    <bk>
      <rc t="2" v="2970"/>
    </bk>
    <bk>
      <rc t="2" v="2971"/>
    </bk>
    <bk>
      <rc t="2" v="2972"/>
    </bk>
    <bk>
      <rc t="2" v="2973"/>
    </bk>
    <bk>
      <rc t="2" v="2974"/>
    </bk>
    <bk>
      <rc t="2" v="2975"/>
    </bk>
    <bk>
      <rc t="2" v="2976"/>
    </bk>
    <bk>
      <rc t="2" v="2977"/>
    </bk>
    <bk>
      <rc t="2" v="2978"/>
    </bk>
    <bk>
      <rc t="2" v="2979"/>
    </bk>
    <bk>
      <rc t="2" v="2980"/>
    </bk>
    <bk>
      <rc t="2" v="2981"/>
    </bk>
    <bk>
      <rc t="2" v="2982"/>
    </bk>
    <bk>
      <rc t="2" v="2983"/>
    </bk>
    <bk>
      <rc t="2" v="2984"/>
    </bk>
    <bk>
      <rc t="2" v="2985"/>
    </bk>
    <bk>
      <rc t="2" v="2986"/>
    </bk>
    <bk>
      <rc t="2" v="2987"/>
    </bk>
    <bk>
      <rc t="2" v="2988"/>
    </bk>
    <bk>
      <rc t="2" v="2989"/>
    </bk>
    <bk>
      <rc t="2" v="2990"/>
    </bk>
    <bk>
      <rc t="2" v="2991"/>
    </bk>
    <bk>
      <rc t="2" v="2992"/>
    </bk>
    <bk>
      <rc t="2" v="2993"/>
    </bk>
    <bk>
      <rc t="2" v="2994"/>
    </bk>
    <bk>
      <rc t="2" v="2995"/>
    </bk>
    <bk>
      <rc t="2" v="2996"/>
    </bk>
    <bk>
      <rc t="2" v="2997"/>
    </bk>
    <bk>
      <rc t="2" v="2998"/>
    </bk>
    <bk>
      <rc t="2" v="2999"/>
    </bk>
    <bk>
      <rc t="2" v="3000"/>
    </bk>
    <bk>
      <rc t="2" v="3001"/>
    </bk>
    <bk>
      <rc t="2" v="3002"/>
    </bk>
    <bk>
      <rc t="2" v="3003"/>
    </bk>
    <bk>
      <rc t="2" v="3004"/>
    </bk>
    <bk>
      <rc t="2" v="3005"/>
    </bk>
    <bk>
      <rc t="2" v="3006"/>
    </bk>
    <bk>
      <rc t="2" v="3007"/>
    </bk>
    <bk>
      <rc t="2" v="3008"/>
    </bk>
    <bk>
      <rc t="2" v="3009"/>
    </bk>
    <bk>
      <rc t="2" v="3010"/>
    </bk>
    <bk>
      <rc t="2" v="3011"/>
    </bk>
    <bk>
      <rc t="2" v="3012"/>
    </bk>
    <bk>
      <rc t="2" v="3013"/>
    </bk>
    <bk>
      <rc t="2" v="3014"/>
    </bk>
    <bk>
      <rc t="2" v="3015"/>
    </bk>
    <bk>
      <rc t="2" v="3016"/>
    </bk>
    <bk>
      <rc t="2" v="3017"/>
    </bk>
    <bk>
      <rc t="2" v="3018"/>
    </bk>
    <bk>
      <rc t="2" v="3019"/>
    </bk>
    <bk>
      <rc t="2" v="3020"/>
    </bk>
    <bk>
      <rc t="2" v="3021"/>
    </bk>
    <bk>
      <rc t="2" v="3022"/>
    </bk>
    <bk>
      <rc t="2" v="3023"/>
    </bk>
    <bk>
      <rc t="2" v="3024"/>
    </bk>
    <bk>
      <rc t="2" v="3025"/>
    </bk>
    <bk>
      <rc t="2" v="3026"/>
    </bk>
    <bk>
      <rc t="2" v="3027"/>
    </bk>
    <bk>
      <rc t="2" v="3028"/>
    </bk>
    <bk>
      <rc t="2" v="3029"/>
    </bk>
    <bk>
      <rc t="2" v="3030"/>
    </bk>
    <bk>
      <rc t="2" v="3031"/>
    </bk>
    <bk>
      <rc t="2" v="3032"/>
    </bk>
    <bk>
      <rc t="2" v="3033"/>
    </bk>
    <bk>
      <rc t="2" v="3034"/>
    </bk>
    <bk>
      <rc t="2" v="3035"/>
    </bk>
    <bk>
      <rc t="2" v="3036"/>
    </bk>
    <bk>
      <rc t="2" v="3037"/>
    </bk>
    <bk>
      <rc t="2" v="3038"/>
    </bk>
    <bk>
      <rc t="2" v="3039"/>
    </bk>
    <bk>
      <rc t="2" v="3040"/>
    </bk>
    <bk>
      <rc t="2" v="3041"/>
    </bk>
    <bk>
      <rc t="2" v="3042"/>
    </bk>
    <bk>
      <rc t="2" v="3043"/>
    </bk>
    <bk>
      <rc t="2" v="3044"/>
    </bk>
    <bk>
      <rc t="2" v="3045"/>
    </bk>
    <bk>
      <rc t="2" v="3046"/>
    </bk>
    <bk>
      <rc t="2" v="3047"/>
    </bk>
    <bk>
      <rc t="2" v="3048"/>
    </bk>
    <bk>
      <rc t="2" v="3049"/>
    </bk>
    <bk>
      <rc t="2" v="3050"/>
    </bk>
    <bk>
      <rc t="2" v="3051"/>
    </bk>
    <bk>
      <rc t="2" v="3052"/>
    </bk>
    <bk>
      <rc t="2" v="3053"/>
    </bk>
    <bk>
      <rc t="2" v="3054"/>
    </bk>
    <bk>
      <rc t="2" v="3055"/>
    </bk>
    <bk>
      <rc t="2" v="3056"/>
    </bk>
    <bk>
      <rc t="2" v="3057"/>
    </bk>
    <bk>
      <rc t="2" v="3058"/>
    </bk>
    <bk>
      <rc t="2" v="3059"/>
    </bk>
    <bk>
      <rc t="2" v="3060"/>
    </bk>
    <bk>
      <rc t="2" v="3061"/>
    </bk>
    <bk>
      <rc t="2" v="3062"/>
    </bk>
    <bk>
      <rc t="2" v="3063"/>
    </bk>
    <bk>
      <rc t="2" v="3064"/>
    </bk>
    <bk>
      <rc t="2" v="3065"/>
    </bk>
    <bk>
      <rc t="2" v="3066"/>
    </bk>
    <bk>
      <rc t="2" v="3067"/>
    </bk>
    <bk>
      <rc t="2" v="3068"/>
    </bk>
    <bk>
      <rc t="2" v="3069"/>
    </bk>
    <bk>
      <rc t="2" v="3070"/>
    </bk>
    <bk>
      <rc t="2" v="3071"/>
    </bk>
    <bk>
      <rc t="2" v="3072"/>
    </bk>
    <bk>
      <rc t="2" v="3073"/>
    </bk>
    <bk>
      <rc t="2" v="3074"/>
    </bk>
    <bk>
      <rc t="2" v="3075"/>
    </bk>
    <bk>
      <rc t="2" v="3076"/>
    </bk>
    <bk>
      <rc t="2" v="3077"/>
    </bk>
    <bk>
      <rc t="2" v="3078"/>
    </bk>
    <bk>
      <rc t="2" v="3079"/>
    </bk>
    <bk>
      <rc t="2" v="3080"/>
    </bk>
    <bk>
      <rc t="2" v="3081"/>
    </bk>
    <bk>
      <rc t="2" v="3082"/>
    </bk>
    <bk>
      <rc t="2" v="3083"/>
    </bk>
    <bk>
      <rc t="2" v="3084"/>
    </bk>
    <bk>
      <rc t="2" v="3085"/>
    </bk>
    <bk>
      <rc t="2" v="3086"/>
    </bk>
    <bk>
      <rc t="2" v="3087"/>
    </bk>
    <bk>
      <rc t="2" v="3088"/>
    </bk>
    <bk>
      <rc t="2" v="3089"/>
    </bk>
    <bk>
      <rc t="2" v="3090"/>
    </bk>
    <bk>
      <rc t="2" v="3091"/>
    </bk>
    <bk>
      <rc t="2" v="3092"/>
    </bk>
    <bk>
      <rc t="2" v="3093"/>
    </bk>
    <bk>
      <rc t="2" v="3094"/>
    </bk>
    <bk>
      <rc t="2" v="3095"/>
    </bk>
    <bk>
      <rc t="2" v="3096"/>
    </bk>
    <bk>
      <rc t="2" v="3097"/>
    </bk>
    <bk>
      <rc t="2" v="3098"/>
    </bk>
    <bk>
      <rc t="2" v="3099"/>
    </bk>
    <bk>
      <rc t="2" v="3100"/>
    </bk>
    <bk>
      <rc t="2" v="3101"/>
    </bk>
    <bk>
      <rc t="2" v="3102"/>
    </bk>
    <bk>
      <rc t="2" v="3103"/>
    </bk>
    <bk>
      <rc t="2" v="3104"/>
    </bk>
    <bk>
      <rc t="2" v="3105"/>
    </bk>
    <bk>
      <rc t="2" v="3106"/>
    </bk>
    <bk>
      <rc t="2" v="3107"/>
    </bk>
    <bk>
      <rc t="2" v="3108"/>
    </bk>
    <bk>
      <rc t="2" v="3109"/>
    </bk>
    <bk>
      <rc t="2" v="3110"/>
    </bk>
    <bk>
      <rc t="2" v="3111"/>
    </bk>
    <bk>
      <rc t="2" v="3112"/>
    </bk>
    <bk>
      <rc t="2" v="3113"/>
    </bk>
    <bk>
      <rc t="2" v="3114"/>
    </bk>
    <bk>
      <rc t="2" v="3115"/>
    </bk>
    <bk>
      <rc t="2" v="3116"/>
    </bk>
    <bk>
      <rc t="2" v="3117"/>
    </bk>
    <bk>
      <rc t="2" v="3118"/>
    </bk>
    <bk>
      <rc t="2" v="3119"/>
    </bk>
    <bk>
      <rc t="2" v="3120"/>
    </bk>
    <bk>
      <rc t="2" v="3121"/>
    </bk>
    <bk>
      <rc t="2" v="3122"/>
    </bk>
    <bk>
      <rc t="2" v="3123"/>
    </bk>
    <bk>
      <rc t="2" v="3124"/>
    </bk>
    <bk>
      <rc t="2" v="3125"/>
    </bk>
    <bk>
      <rc t="2" v="3126"/>
    </bk>
    <bk>
      <rc t="2" v="3127"/>
    </bk>
    <bk>
      <rc t="2" v="3128"/>
    </bk>
    <bk>
      <rc t="2" v="3129"/>
    </bk>
    <bk>
      <rc t="2" v="3130"/>
    </bk>
    <bk>
      <rc t="2" v="3131"/>
    </bk>
    <bk>
      <rc t="2" v="3132"/>
    </bk>
    <bk>
      <rc t="2" v="3133"/>
    </bk>
    <bk>
      <rc t="2" v="3134"/>
    </bk>
    <bk>
      <rc t="2" v="3135"/>
    </bk>
    <bk>
      <rc t="2" v="3136"/>
    </bk>
    <bk>
      <rc t="2" v="3137"/>
    </bk>
    <bk>
      <rc t="2" v="3138"/>
    </bk>
    <bk>
      <rc t="2" v="3139"/>
    </bk>
    <bk>
      <rc t="2" v="3140"/>
    </bk>
    <bk>
      <rc t="2" v="3141"/>
    </bk>
    <bk>
      <rc t="2" v="3142"/>
    </bk>
    <bk>
      <rc t="2" v="3143"/>
    </bk>
    <bk>
      <rc t="2" v="3144"/>
    </bk>
    <bk>
      <rc t="2" v="3145"/>
    </bk>
    <bk>
      <rc t="2" v="3146"/>
    </bk>
    <bk>
      <rc t="2" v="3147"/>
    </bk>
    <bk>
      <rc t="2" v="3148"/>
    </bk>
  </valueMetadata>
</metadata>
</file>

<file path=xl/sharedStrings.xml><?xml version="1.0" encoding="utf-8"?>
<sst xmlns="http://schemas.openxmlformats.org/spreadsheetml/2006/main" count="164" uniqueCount="119">
  <si>
    <t>Currency</t>
  </si>
  <si>
    <t>Expense</t>
  </si>
  <si>
    <t>ID</t>
  </si>
  <si>
    <t>Asset</t>
  </si>
  <si>
    <t>Inception</t>
  </si>
  <si>
    <t>DataStart</t>
  </si>
  <si>
    <t>MissDays</t>
  </si>
  <si>
    <t xml:space="preserve">This file will fetch all prices for the assets listed on the Assets sheet. </t>
  </si>
  <si>
    <t>It puts the prices on the Prices sheet using a single formula in cell A1, that spills onto the entire sheet.</t>
  </si>
  <si>
    <t>You can add additional assets and they will be automatcally added to the Prices sheet.</t>
  </si>
  <si>
    <t>The formula that gets the prices will use the following start and end dates.</t>
  </si>
  <si>
    <t>Start Date</t>
  </si>
  <si>
    <t>End Date</t>
  </si>
  <si>
    <t>Name</t>
  </si>
  <si>
    <t>EUNL</t>
  </si>
  <si>
    <t>ISIN</t>
  </si>
  <si>
    <t>DE000A0S9GB0</t>
  </si>
  <si>
    <t>SE0008321780</t>
  </si>
  <si>
    <t>SE0001838004</t>
  </si>
  <si>
    <t>IE000K975W13</t>
  </si>
  <si>
    <t>IE00BL25JP72</t>
  </si>
  <si>
    <t>SE0011415256</t>
  </si>
  <si>
    <t>SE0013121456</t>
  </si>
  <si>
    <t>SE0015243878</t>
  </si>
  <si>
    <t>SE0012204758</t>
  </si>
  <si>
    <t>IE00BSKRJZ44</t>
  </si>
  <si>
    <t>IE000GHXL2Q3</t>
  </si>
  <si>
    <t>IE00BFXR6159</t>
  </si>
  <si>
    <t>SE0000987224</t>
  </si>
  <si>
    <t>DK0060485605</t>
  </si>
  <si>
    <t>FR0013416716</t>
  </si>
  <si>
    <t>IE00B579F325</t>
  </si>
  <si>
    <t>JE00B588CD74</t>
  </si>
  <si>
    <t>GG00BQBFY362</t>
  </si>
  <si>
    <t>LU0319687124</t>
  </si>
  <si>
    <t>LU2985209316</t>
  </si>
  <si>
    <t>IE00BN940Z87</t>
  </si>
  <si>
    <t>SE0000529992</t>
  </si>
  <si>
    <t>IE0003R87OG3</t>
  </si>
  <si>
    <t>IE00B4L5Y983</t>
  </si>
  <si>
    <t>IE00BFM6TC58</t>
  </si>
  <si>
    <t>LU0290357846</t>
  </si>
  <si>
    <t>IE0003XJA0J9</t>
  </si>
  <si>
    <t>SE0014991535</t>
  </si>
  <si>
    <t>SE0012454338</t>
  </si>
  <si>
    <t>IE00BL25JM42</t>
  </si>
  <si>
    <t>Proxy</t>
  </si>
  <si>
    <t>GULD</t>
  </si>
  <si>
    <t>AKTIER - VALUE FACTOR</t>
  </si>
  <si>
    <t>AKTIER - MOMENTUM FACTOR</t>
  </si>
  <si>
    <t>AKTIER - BLEND - SE</t>
  </si>
  <si>
    <t>AKTIER - EMERGING MARKETS</t>
  </si>
  <si>
    <t>AKTIER - BLEND - WORLD</t>
  </si>
  <si>
    <t>4GLD</t>
  </si>
  <si>
    <t>REALRÄNTOR</t>
  </si>
  <si>
    <t>OBLIGATIONER - US</t>
  </si>
  <si>
    <t>OBLIGATIONER - EU</t>
  </si>
  <si>
    <t>OBLIGATIONER - FÖRETAG</t>
  </si>
  <si>
    <t>OBLIGATIONER - SE</t>
  </si>
  <si>
    <t>RÅVAROR</t>
  </si>
  <si>
    <t>Acc/Dist</t>
  </si>
  <si>
    <t>Acc</t>
  </si>
  <si>
    <t>Dist</t>
  </si>
  <si>
    <t>DBXG</t>
  </si>
  <si>
    <t>SE0002866772</t>
  </si>
  <si>
    <t>Updating of prices is set to manual, to update right-click a stock datatype cell, DataType-&gt;Refresh</t>
  </si>
  <si>
    <t>Note that a large range can be slow.</t>
  </si>
  <si>
    <t>BHMG</t>
  </si>
  <si>
    <t>LÅNG VOLATILITET</t>
  </si>
  <si>
    <t>STIL - TREND</t>
  </si>
  <si>
    <t>STIL - CARRY</t>
  </si>
  <si>
    <t>STIL - MACRO</t>
  </si>
  <si>
    <t>SE0000739187</t>
  </si>
  <si>
    <t>DBC</t>
  </si>
  <si>
    <t>SE0004297927</t>
  </si>
  <si>
    <t>SE0010831578</t>
  </si>
  <si>
    <t>UEQC</t>
  </si>
  <si>
    <t>IE00BKFB6L02</t>
  </si>
  <si>
    <t>EN4C</t>
  </si>
  <si>
    <t>LU0413134395</t>
  </si>
  <si>
    <t>Index</t>
  </si>
  <si>
    <t>Barclays Backwardation Tilt Multi-Strategy Capped index</t>
  </si>
  <si>
    <t>StdDev</t>
  </si>
  <si>
    <t>SE0003455658</t>
  </si>
  <si>
    <t>TLT</t>
  </si>
  <si>
    <t>BCC3C3TT</t>
  </si>
  <si>
    <t>OMRXREAL</t>
  </si>
  <si>
    <t>OMRX Real Return Bond Index</t>
  </si>
  <si>
    <t>MSCI_664220</t>
  </si>
  <si>
    <t>MSCI Emerging Markets IMI Index</t>
  </si>
  <si>
    <t>OMXSCAPGI</t>
  </si>
  <si>
    <t>OMX Stockholm PI GI</t>
  </si>
  <si>
    <t>MSCI_703755</t>
  </si>
  <si>
    <t>MSCI World Momentum Index</t>
  </si>
  <si>
    <t>OMXSSCGI</t>
  </si>
  <si>
    <t>NASDAQ OMX Small Cap Sweden GR SEK</t>
  </si>
  <si>
    <t>OMXSBGI</t>
  </si>
  <si>
    <t>SIX Sweden Dividend 21 SRI Gross Index (SIXSEDIV21SRIGI)</t>
  </si>
  <si>
    <t>MSCI_705130</t>
  </si>
  <si>
    <t>MSCI World Enhanced Value Index (USD) Index</t>
  </si>
  <si>
    <t>F_PASI</t>
  </si>
  <si>
    <t>F_SSA</t>
  </si>
  <si>
    <t>F_SSVFA</t>
  </si>
  <si>
    <t>F_ADA</t>
  </si>
  <si>
    <t>F_SAI</t>
  </si>
  <si>
    <t>F_ASE</t>
  </si>
  <si>
    <t>F_KICA</t>
  </si>
  <si>
    <t>F_AEMA</t>
  </si>
  <si>
    <t>F_SEMAS</t>
  </si>
  <si>
    <t>F_ARL</t>
  </si>
  <si>
    <t>F_CIBA</t>
  </si>
  <si>
    <t>F_CAGCA</t>
  </si>
  <si>
    <t>F_SGFAS</t>
  </si>
  <si>
    <t>F_SGHYFC</t>
  </si>
  <si>
    <t>F_SRR</t>
  </si>
  <si>
    <t>F_DIGRS</t>
  </si>
  <si>
    <t>F_AFVW</t>
  </si>
  <si>
    <t>F_MMFHS</t>
  </si>
  <si>
    <t>F_LD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</si>
</sst>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1" fillId="0" borderId="0" xfId="0" applyFont="1"/>
    <xf numFmtId="10" fontId="0" fillId="0" borderId="0" xfId="0" applyNumberFormat="1"/>
    <xf numFmtId="14" fontId="1" fillId="0" borderId="0" xfId="0" applyNumberFormat="1" applyFont="1"/>
    <xf numFmtId="1" fontId="1" fillId="0" borderId="0" xfId="0" applyNumberFormat="1" applyFont="1"/>
    <xf numFmtId="1" fontId="0" fillId="0" borderId="0" xfId="0" applyNumberFormat="1"/>
    <xf numFmtId="164" fontId="0" fillId="0" borderId="0" xfId="0" applyNumberFormat="1"/>
  </cellXfs>
  <cellStyles count="1">
    <cellStyle name="Normal" xfId="0" builtinId="0"/>
  </cellStyles>
  <dxfs count="9">
    <dxf>
      <numFmt numFmtId="1" formatCode="0"/>
    </dxf>
    <dxf>
      <numFmt numFmtId="1" formatCode="0"/>
    </dxf>
    <dxf>
      <numFmt numFmtId="1" formatCode="0"/>
    </dxf>
    <dxf>
      <numFmt numFmtId="1" formatCode="0"/>
    </dxf>
    <dxf>
      <numFmt numFmtId="1" formatCode="0"/>
    </dxf>
    <dxf>
      <numFmt numFmtId="19" formatCode="yyyy/mm/dd"/>
    </dxf>
    <dxf>
      <numFmt numFmtId="14" formatCode="0.00%"/>
    </dxf>
    <dxf>
      <numFmt numFmtId="14" formatCode="0.0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ichStyles" Target="richData/richStyles.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dArray" Target="richData/rdarray.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0"/>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51">
  <a r="1" c="70">
    <v t="i">0</v>
    <v t="i">1</v>
    <v t="i">2</v>
    <v t="i">3</v>
    <v t="i">4</v>
    <v t="i">7</v>
    <v t="i">8</v>
    <v t="i">9</v>
    <v t="i">10</v>
    <v t="i">11</v>
    <v t="i">14</v>
    <v t="i">15</v>
    <v t="i">16</v>
    <v t="i">17</v>
    <v t="i">18</v>
    <v t="i">21</v>
    <v t="i">22</v>
    <v t="i">28</v>
    <v t="i">29</v>
    <v t="i">32</v>
    <v t="i">35</v>
    <v t="i">37</v>
    <v t="i">38</v>
    <v t="i">39</v>
    <v t="i">42</v>
    <v t="i">43</v>
    <v t="i">44</v>
    <v t="i">46</v>
    <v t="i">49</v>
    <v t="i">50</v>
    <v t="i">51</v>
    <v t="i">52</v>
    <v t="i">53</v>
    <v t="i">57</v>
    <v t="i">58</v>
    <v t="i">59</v>
    <v t="i">60</v>
    <v t="i">63</v>
    <v t="i">64</v>
    <v t="i">65</v>
    <v t="i">66</v>
    <v t="i">67</v>
    <v t="i">70</v>
    <v t="i">71</v>
    <v t="i">72</v>
    <v t="i">84</v>
    <v t="i">85</v>
    <v t="i">86</v>
    <v t="i">87</v>
    <v t="i">91</v>
    <v t="i">93</v>
    <v t="i">94</v>
    <v t="i">95</v>
    <v t="i">98</v>
    <v t="i">99</v>
    <v t="i">100</v>
    <v t="i">101</v>
    <v t="i">102</v>
    <v t="i">105</v>
    <v t="i">106</v>
    <v t="i">107</v>
    <v t="i">108</v>
    <v t="i">109</v>
    <v t="i">112</v>
    <v t="i">113</v>
    <v t="i">114</v>
    <v t="i">116</v>
    <v t="i">119</v>
    <v t="i">121</v>
    <v t="i">122</v>
  </a>
  <a r="1" c="70">
    <v>149.52000000000001</v>
    <v>150.37</v>
    <v>150.81</v>
    <v>150.05000000000001</v>
    <v>152.62</v>
    <v>153.08000000000001</v>
    <v>151.26</v>
    <v>150.94999999999999</v>
    <v>147.77000000000001</v>
    <v>151.38999999999999</v>
    <v>149.49</v>
    <v>147.35</v>
    <v>148.06</v>
    <v>147.93</v>
    <v>149.05000000000001</v>
    <v>149.75</v>
    <v>149.44999999999999</v>
    <v>151.19</v>
    <v>151.34</v>
    <v>154.27000000000001</v>
    <v>156.69999999999999</v>
    <v>157.59</v>
    <v>157.13999999999999</v>
    <v>156.96</v>
    <v>157.68</v>
    <v>158.85</v>
    <v>159.33000000000001</v>
    <v>160.94999999999999</v>
    <v>160.74</v>
    <v>158.69999999999999</v>
    <v>158.19</v>
    <v>158.41</v>
    <v>158.66999999999999</v>
    <v>158.62</v>
    <v>161.76</v>
    <v>161.69999999999999</v>
    <v>158.75</v>
    <v>157.22999999999999</v>
    <v>160.32</v>
    <v>162</v>
    <v>159.83000000000001</v>
    <v>159.52000000000001</v>
    <v>161.19</v>
    <v>159.82</v>
    <v>163.68</v>
    <v>168.21</v>
    <v>169.23</v>
    <v>171.15</v>
    <v>170.33</v>
    <v>170.51</v>
    <v>158.55000000000001</v>
    <v>161.47999999999999</v>
    <v>162.16999999999999</v>
    <v>155.68</v>
    <v>159.81</v>
    <v>164.24</v>
    <v>161.94999999999999</v>
    <v>162.55000000000001</v>
    <v>162.55000000000001</v>
    <v>161.66</v>
    <v>166.7</v>
    <v>162.31</v>
    <v>160.76</v>
    <v>155.94999999999999</v>
    <v>158.38</v>
    <v>161.78</v>
    <v>159.76</v>
    <v>158.52000000000001</v>
    <v>160.6</v>
    <v>159.06</v>
  </a>
  <a r="1" c="85">
    <v t="i">0</v>
    <v t="i">1</v>
    <v t="i">2</v>
    <v t="i">3</v>
    <v t="i">4</v>
    <v t="i">7</v>
    <v t="i">8</v>
    <v t="i">9</v>
    <v t="i">10</v>
    <v t="i">11</v>
    <v t="i">14</v>
    <v t="i">15</v>
    <v t="i">16</v>
    <v t="i">17</v>
    <v t="i">18</v>
    <v t="i">21</v>
    <v t="i">22</v>
    <v t="i">28</v>
    <v t="i">29</v>
    <v t="i">32</v>
    <v t="i">35</v>
    <v t="i">36</v>
    <v t="i">37</v>
    <v t="i">38</v>
    <v t="i">39</v>
    <v t="i">42</v>
    <v t="i">43</v>
    <v t="i">44</v>
    <v t="i">45</v>
    <v t="i">46</v>
    <v t="i">49</v>
    <v t="i">50</v>
    <v t="i">51</v>
    <v t="i">52</v>
    <v t="i">53</v>
    <v t="i">56</v>
    <v t="i">57</v>
    <v t="i">58</v>
    <v t="i">59</v>
    <v t="i">60</v>
    <v t="i">63</v>
    <v t="i">64</v>
    <v t="i">65</v>
    <v t="i">66</v>
    <v t="i">67</v>
    <v t="i">70</v>
    <v t="i">71</v>
    <v t="i">72</v>
    <v t="i">73</v>
    <v t="i">74</v>
    <v t="i">77</v>
    <v t="i">78</v>
    <v t="i">79</v>
    <v t="i">80</v>
    <v t="i">81</v>
    <v t="i">84</v>
    <v t="i">85</v>
    <v t="i">86</v>
    <v t="i">87</v>
    <v t="i">88</v>
    <v t="i">91</v>
    <v t="i">92</v>
    <v t="i">93</v>
    <v t="i">94</v>
    <v t="i">95</v>
    <v t="i">98</v>
    <v t="i">99</v>
    <v t="i">100</v>
    <v t="i">101</v>
    <v t="i">102</v>
    <v t="i">105</v>
    <v t="i">106</v>
    <v t="i">107</v>
    <v t="i">108</v>
    <v t="i">109</v>
    <v t="i">112</v>
    <v t="i">113</v>
    <v t="i">114</v>
    <v t="i">115</v>
    <v t="i">116</v>
    <v t="i">119</v>
    <v t="i">120</v>
    <v t="i">121</v>
    <v t="i">122</v>
    <v t="i">127</v>
  </a>
  <a r="1" c="85">
    <v>350.74</v>
    <v>347.1</v>
    <v>348.58</v>
    <v>348.08</v>
    <v>348.82</v>
    <v>347.42</v>
    <v>348.62</v>
    <v>347.12</v>
    <v>348.9</v>
    <v>351.12</v>
    <v>351.5</v>
    <v>351.78</v>
    <v>354.3</v>
    <v>358.6</v>
    <v>357.18</v>
    <v>363.24</v>
    <v>364.82</v>
    <v>355.38</v>
    <v>360.46</v>
    <v>353.94</v>
    <v>365.22</v>
    <v>369.46</v>
    <v>367.56</v>
    <v>368.42</v>
    <v>372.74</v>
    <v>380.82</v>
    <v>380.58</v>
    <v>381.44</v>
    <v>382.44</v>
    <v>381.22</v>
    <v>386.18</v>
    <v>389.2</v>
    <v>398.4</v>
    <v>399.66</v>
    <v>407.76</v>
    <v>411.22</v>
    <v>409.18</v>
    <v>426.24</v>
    <v>424.38</v>
    <v>402.44</v>
    <v>380.48</v>
    <v>406.32</v>
    <v>401.7</v>
    <v>395.86</v>
    <v>401.98</v>
    <v>410.3</v>
    <v>405.88</v>
    <v>411.26</v>
    <v>400.36</v>
    <v>406.66</v>
    <v>405.06</v>
    <v>396.94</v>
    <v>407.58</v>
    <v>409.04</v>
    <v>414.16</v>
    <v>425.14</v>
    <v>419.8</v>
    <v>424.5</v>
    <v>422.82</v>
    <v>425.96</v>
    <v>435.64</v>
    <v>424.82</v>
    <v>426.3</v>
    <v>421</v>
    <v>426.22</v>
    <v>423.6</v>
    <v>432.36</v>
    <v>430.04</v>
    <v>428.44</v>
    <v>424.72</v>
    <v>417.24</v>
    <v>417.7</v>
    <v>407.64</v>
    <v>383</v>
    <v>381.9</v>
    <v>363.52</v>
    <v>366.52</v>
    <v>378.8</v>
    <v>366.4</v>
    <v>377.24</v>
    <v>381.96</v>
    <v>385.38</v>
    <v>396.32</v>
    <v>389.22</v>
    <v>386.62</v>
  </a>
  <a r="1" c="85">
    <v>68.849999999999994</v>
    <v>69.08</v>
    <v>68.87</v>
    <v>69.61</v>
    <v>69.67</v>
    <v>70.290000000000006</v>
    <v>70.63</v>
    <v>70.5</v>
    <v>69.91</v>
    <v>68.709999999999994</v>
    <v>69</v>
    <v>68.3</v>
    <v>67.459999999999994</v>
    <v>68.62</v>
    <v>69.53</v>
    <v>69.900000000000006</v>
    <v>70.13</v>
    <v>69.94</v>
    <v>70.16</v>
    <v>70.11</v>
    <v>71.55</v>
    <v>71.739999999999995</v>
    <v>72.02</v>
    <v>71.22</v>
    <v>72.22</v>
    <v>72.42</v>
    <v>73.010000000000005</v>
    <v>72.069999999999993</v>
    <v>73.45</v>
    <v>73.48</v>
    <v>72.45</v>
    <v>71.959999999999994</v>
    <v>71.760000000000005</v>
    <v>71.87</v>
    <v>71.650000000000006</v>
    <v>71.45</v>
    <v>71.95</v>
    <v>72.05</v>
    <v>71.11</v>
    <v>71.48</v>
    <v>71.97</v>
    <v>71.849999999999994</v>
    <v>70.069999999999993</v>
    <v>69.260000000000005</v>
    <v>70.86</v>
    <v>72.260000000000005</v>
    <v>72.12</v>
    <v>71.790000000000006</v>
    <v>70.83</v>
    <v>70.67</v>
    <v>70.73</v>
    <v>71.099999999999994</v>
    <v>72.42</v>
    <v>72.099999999999994</v>
    <v>72.62</v>
    <v>71.75</v>
    <v>71.88</v>
    <v>73.05</v>
    <v>72.599999999999994</v>
    <v>71.97</v>
    <v>71.97</v>
    <v>70.17</v>
    <v>71.22</v>
    <v>70.180000000000007</v>
    <v>69.290000000000006</v>
    <v>68.97</v>
    <v>71.069999999999993</v>
    <v>70.790000000000006</v>
    <v>69.95</v>
    <v>69.739999999999995</v>
    <v>70.28</v>
    <v>70.44</v>
    <v>70.62</v>
    <v>69.099999999999994</v>
    <v>68.069999999999993</v>
    <v>68.400000000000006</v>
    <v>68.58</v>
    <v>69.709999999999994</v>
    <v>68.069999999999993</v>
    <v>67.040000000000006</v>
    <v>66.83</v>
    <v>66.87</v>
    <v>69.98</v>
    <v>69.709999999999994</v>
    <v>69.44</v>
  </a>
  <a r="1" c="82">
    <v t="i">0</v>
    <v t="i">1</v>
    <v t="i">2</v>
    <v t="i">3</v>
    <v t="i">4</v>
    <v t="i">7</v>
    <v t="i">8</v>
    <v t="i">9</v>
    <v t="i">10</v>
    <v t="i">11</v>
    <v t="i">14</v>
    <v t="i">15</v>
    <v t="i">16</v>
    <v t="i">17</v>
    <v t="i">18</v>
    <v t="i">21</v>
    <v t="i">22</v>
    <v t="i">28</v>
    <v t="i">29</v>
    <v t="i">32</v>
    <v t="i">35</v>
    <v t="i">37</v>
    <v t="i">38</v>
    <v t="i">39</v>
    <v t="i">42</v>
    <v t="i">43</v>
    <v t="i">44</v>
    <v t="i">45</v>
    <v t="i">46</v>
    <v t="i">50</v>
    <v t="i">51</v>
    <v t="i">52</v>
    <v t="i">53</v>
    <v t="i">56</v>
    <v t="i">57</v>
    <v t="i">58</v>
    <v t="i">59</v>
    <v t="i">60</v>
    <v t="i">63</v>
    <v t="i">64</v>
    <v t="i">65</v>
    <v t="i">66</v>
    <v t="i">67</v>
    <v t="i">70</v>
    <v t="i">71</v>
    <v t="i">72</v>
    <v t="i">73</v>
    <v t="i">74</v>
    <v t="i">78</v>
    <v t="i">79</v>
    <v t="i">80</v>
    <v t="i">81</v>
    <v t="i">84</v>
    <v t="i">85</v>
    <v t="i">86</v>
    <v t="i">87</v>
    <v t="i">88</v>
    <v t="i">91</v>
    <v t="i">92</v>
    <v t="i">93</v>
    <v t="i">94</v>
    <v t="i">95</v>
    <v t="i">98</v>
    <v t="i">99</v>
    <v t="i">100</v>
    <v t="i">101</v>
    <v t="i">102</v>
    <v t="i">105</v>
    <v t="i">106</v>
    <v t="i">107</v>
    <v t="i">108</v>
    <v t="i">109</v>
    <v t="i">112</v>
    <v t="i">113</v>
    <v t="i">114</v>
    <v t="i">115</v>
    <v t="i">116</v>
    <v t="i">119</v>
    <v t="i">120</v>
    <v t="i">121</v>
    <v t="i">122</v>
    <v t="i">127</v>
  </a>
  <a r="1" c="82">
    <v>290.14800000000002</v>
    <v>290.14609999999999</v>
    <v>289.79989999999998</v>
    <v>290.22969999999998</v>
    <v>289.41489999999999</v>
    <v>288.23</v>
    <v>287.73790000000002</v>
    <v>287.02269999999999</v>
    <v>288.6309</v>
    <v>288.82170000000002</v>
    <v>289.60430000000002</v>
    <v>289.60930000000002</v>
    <v>289.52780000000001</v>
    <v>290.23790000000002</v>
    <v>290.0222</v>
    <v>289.87279999999998</v>
    <v>291.13240000000002</v>
    <v>291.96570000000003</v>
    <v>292.18869999999998</v>
    <v>291.82670000000002</v>
    <v>290.54020000000003</v>
    <v>292.66300000000001</v>
    <v>292.68400000000003</v>
    <v>292.61070000000001</v>
    <v>293.23899999999998</v>
    <v>293.4427</v>
    <v>293.4237</v>
    <v>294.2312</v>
    <v>293.50580000000002</v>
    <v>292.66410000000002</v>
    <v>292.57080000000002</v>
    <v>292.67950000000002</v>
    <v>292.17950000000002</v>
    <v>292.65769999999998</v>
    <v>292.9393</v>
    <v>293.77710000000002</v>
    <v>294.6207</v>
    <v>295.39710000000002</v>
    <v>295.0822</v>
    <v>294.3895</v>
    <v>296.19459999999998</v>
    <v>297.1112</v>
    <v>297.06970000000001</v>
    <v>297.58350000000002</v>
    <v>298.54140000000001</v>
    <v>298.31420000000003</v>
    <v>299.36590000000001</v>
    <v>300.3331</v>
    <v>300.48559999999998</v>
    <v>300.97579999999999</v>
    <v>299.96210000000002</v>
    <v>299.404</v>
    <v>299.79629999999997</v>
    <v>300.03210000000001</v>
    <v>300.09539999999998</v>
    <v>300.51620000000003</v>
    <v>300.9932</v>
    <v>298.86700000000002</v>
    <v>295.27499999999998</v>
    <v>296.94929999999999</v>
    <v>295.49829999999997</v>
    <v>292.25369999999998</v>
    <v>289.6961</v>
    <v>293.78870000000001</v>
    <v>290.9366</v>
    <v>289.5351</v>
    <v>288.95330000000001</v>
    <v>289.81139999999999</v>
    <v>291.7201</v>
    <v>290.28829999999999</v>
    <v>287.93029999999999</v>
    <v>283.60480000000001</v>
    <v>286.2697</v>
    <v>284.22449999999998</v>
    <v>285.08640000000003</v>
    <v>281.96510000000001</v>
    <v>279.40140000000002</v>
    <v>281.37349999999998</v>
    <v>283.49299999999999</v>
    <v>286.2276</v>
    <v>283.9049</v>
    <v>283.98540000000003</v>
  </a>
  <a r="1" c="85">
    <v>51.14</v>
    <v>51.27</v>
    <v>51.35</v>
    <v>51.59</v>
    <v>51.75</v>
    <v>51.75</v>
    <v>51.97</v>
    <v>52.12</v>
    <v>52.25</v>
    <v>51.95</v>
    <v>52.08</v>
    <v>51.74</v>
    <v>51.62</v>
    <v>52.04</v>
    <v>52.44</v>
    <v>52.35</v>
    <v>52.37</v>
    <v>52.66</v>
    <v>52.89</v>
    <v>53.23</v>
    <v>53.67</v>
    <v>54.11</v>
    <v>54.12</v>
    <v>53.9</v>
    <v>54.69</v>
    <v>54.56</v>
    <v>54.66</v>
    <v>54.91</v>
    <v>55.53</v>
    <v>55.22</v>
    <v>54.68</v>
    <v>54.38</v>
    <v>54.92</v>
    <v>55.41</v>
    <v>54.86</v>
    <v>54.64</v>
    <v>54.76</v>
    <v>55.17</v>
    <v>55.18</v>
    <v>55.7</v>
    <v>56.47</v>
    <v>56.81</v>
    <v>57.07</v>
    <v>56.51</v>
    <v>57.38</v>
    <v>57.4</v>
    <v>57.69</v>
    <v>58.23</v>
    <v>57.81</v>
    <v>57.65</v>
    <v>57.24</v>
    <v>57.57</v>
    <v>58.14</v>
    <v>57.94</v>
    <v>58.08</v>
    <v>57.85</v>
    <v>57.94</v>
    <v>58.36</v>
    <v>58.16</v>
    <v>58.26</v>
    <v>57.77</v>
    <v>56.29</v>
    <v>57.23</v>
    <v>56.67</v>
    <v>55.73</v>
    <v>55.35</v>
    <v>56.75</v>
    <v>56.57</v>
    <v>56.1</v>
    <v>56.26</v>
    <v>56.8</v>
    <v>57.04</v>
    <v>57</v>
    <v>55.9</v>
    <v>55.17</v>
    <v>54.89</v>
    <v>55.41</v>
    <v>56.18</v>
    <v>55.72</v>
    <v>55.06</v>
    <v>55.18</v>
    <v>54.83</v>
    <v>56.62</v>
    <v>56.44</v>
    <v>56.29</v>
  </a>
  <a r="1" c="85">
    <v>20.135000000000002</v>
    <v>20.2</v>
    <v>20.2</v>
    <v>20.324999999999999</v>
    <v>20.364999999999998</v>
    <v>20.574999999999999</v>
    <v>20.565000000000001</v>
    <v>20.38</v>
    <v>20.61</v>
    <v>20.635000000000002</v>
    <v>20.465</v>
    <v>20.364999999999998</v>
    <v>20.274999999999999</v>
    <v>20.5</v>
    <v>20.594999999999999</v>
    <v>20.55</v>
    <v>20.535</v>
    <v>20.36</v>
    <v>20.440000000000001</v>
    <v>20.34</v>
    <v>20.695</v>
    <v>20.945</v>
    <v>21.01</v>
    <v>21.13</v>
    <v>21.324999999999999</v>
    <v>21.375</v>
    <v>21.274999999999999</v>
    <v>21.46</v>
    <v>21.83</v>
    <v>21.795000000000002</v>
    <v>21.37</v>
    <v>21.21</v>
    <v>21.55</v>
    <v>21.83</v>
    <v>21.56</v>
    <v>21.355</v>
    <v>21.29</v>
    <v>21.285</v>
    <v>21.344999999999999</v>
    <v>21.36</v>
    <v>21.72</v>
    <v>21.954999999999998</v>
    <v>22.245000000000001</v>
    <v>22</v>
    <v>22.45</v>
    <v>22.59</v>
    <v>22.574999999999999</v>
    <v>22.69</v>
    <v>22.495000000000001</v>
    <v>22.645</v>
    <v>22.69</v>
    <v>22.57</v>
    <v>22.91</v>
    <v>22.805</v>
    <v>22.8</v>
    <v>22.555</v>
    <v>22.68</v>
    <v>22.76</v>
    <v>22.85</v>
    <v>22.71</v>
    <v>22.805</v>
    <v>22.515000000000001</v>
    <v>22.72</v>
    <v>22.49</v>
    <v>22.004999999999999</v>
    <v>21.655000000000001</v>
    <v>22.18</v>
    <v>21.965</v>
    <v>21.844999999999999</v>
    <v>21.774999999999999</v>
    <v>21.864999999999998</v>
    <v>21.91</v>
    <v>21.89</v>
    <v>21.6</v>
    <v>21.445</v>
    <v>21.67</v>
    <v>22.015000000000001</v>
    <v>22.2</v>
    <v>22.19</v>
    <v>22.04</v>
    <v>22.125</v>
    <v>22.08</v>
    <v>22.434999999999999</v>
    <v>22.405000000000001</v>
    <v>22.46</v>
  </a>
  <a r="1" c="85">
    <v t="i">0</v>
    <v t="i">1</v>
    <v t="i">2</v>
    <v t="i">3</v>
    <v t="i">4</v>
    <v t="i">7</v>
    <v t="i">8</v>
    <v t="i">9</v>
    <v t="i">10</v>
    <v t="i">11</v>
    <v t="i">14</v>
    <v t="i">15</v>
    <v t="i">16</v>
    <v t="i">17</v>
    <v t="i">18</v>
    <v t="i">21</v>
    <v t="i">22</v>
    <v t="i">28</v>
    <v t="i">29</v>
    <v t="i">30</v>
    <v t="i">32</v>
    <v t="i">35</v>
    <v t="i">37</v>
    <v t="i">38</v>
    <v t="i">39</v>
    <v t="i">42</v>
    <v t="i">43</v>
    <v t="i">44</v>
    <v t="i">45</v>
    <v t="i">46</v>
    <v t="i">49</v>
    <v t="i">50</v>
    <v t="i">51</v>
    <v t="i">52</v>
    <v t="i">53</v>
    <v t="i">56</v>
    <v t="i">57</v>
    <v t="i">58</v>
    <v t="i">59</v>
    <v t="i">60</v>
    <v t="i">63</v>
    <v t="i">64</v>
    <v t="i">65</v>
    <v t="i">66</v>
    <v t="i">67</v>
    <v t="i">70</v>
    <v t="i">71</v>
    <v t="i">72</v>
    <v t="i">73</v>
    <v t="i">74</v>
    <v t="i">77</v>
    <v t="i">78</v>
    <v t="i">79</v>
    <v t="i">80</v>
    <v t="i">81</v>
    <v t="i">84</v>
    <v t="i">85</v>
    <v t="i">86</v>
    <v t="i">87</v>
    <v t="i">88</v>
    <v t="i">91</v>
    <v t="i">92</v>
    <v t="i">93</v>
    <v t="i">94</v>
    <v t="i">95</v>
    <v t="i">98</v>
    <v t="i">99</v>
    <v t="i">100</v>
    <v t="i">101</v>
    <v t="i">102</v>
    <v t="i">105</v>
    <v t="i">106</v>
    <v t="i">107</v>
    <v t="i">108</v>
    <v t="i">109</v>
    <v t="i">112</v>
    <v t="i">113</v>
    <v t="i">114</v>
    <v t="i">115</v>
    <v t="i">116</v>
    <v t="i">119</v>
    <v t="i">120</v>
    <v t="i">121</v>
    <v t="i">122</v>
    <v t="i">127</v>
  </a>
  <a r="1" c="85">
    <v>250.99440000000001</v>
    <v>250.48269999999999</v>
    <v>249.65940000000001</v>
    <v>250.5479</v>
    <v>251.13669999999999</v>
    <v>250.0247</v>
    <v>249.60079999999999</v>
    <v>249.3749</v>
    <v>252.11160000000001</v>
    <v>251.2216</v>
    <v>251.75460000000001</v>
    <v>251.72020000000001</v>
    <v>252.01410000000001</v>
    <v>254.71</v>
    <v>254.4836</v>
    <v>254.03059999999999</v>
    <v>254.1782</v>
    <v>255.8159</v>
    <v>257.03179999999998</v>
    <v>257.03100000000001</v>
    <v>258.34899999999999</v>
    <v>257.44080000000002</v>
    <v>258.81779999999998</v>
    <v>258.25560000000002</v>
    <v>259.5181</v>
    <v>259.52460000000002</v>
    <v>260.6592</v>
    <v>262.03680000000003</v>
    <v>264.79320000000001</v>
    <v>265.01609999999999</v>
    <v>260.49970000000002</v>
    <v>258.33760000000001</v>
    <v>260.14569999999998</v>
    <v>263.36840000000001</v>
    <v>263.83629999999999</v>
    <v>264.24590000000001</v>
    <v>265.52510000000001</v>
    <v>264.54169999999999</v>
    <v>259.72320000000002</v>
    <v>258.48599999999999</v>
    <v>262.66469999999998</v>
    <v>264.72949999999997</v>
    <v>268.70530000000002</v>
    <v>267.46089999999998</v>
    <v>269.13249999999999</v>
    <v>269.33620000000002</v>
    <v>270.26679999999999</v>
    <v>270.9751</v>
    <v>270.18689999999998</v>
    <v>268.7647</v>
    <v>268.90839999999997</v>
    <v>269.78219999999999</v>
    <v>270.27370000000002</v>
    <v>270.4502</v>
    <v>272.11489999999998</v>
    <v>270.80290000000002</v>
    <v>271.69310000000002</v>
    <v>272.7783</v>
    <v>273.53289999999998</v>
    <v>273.85140000000001</v>
    <v>269.15910000000002</v>
    <v>262.42529999999999</v>
    <v>265.99020000000002</v>
    <v>264.25209999999998</v>
    <v>263.74380000000002</v>
    <v>259.67099999999999</v>
    <v>265.38600000000002</v>
    <v>263.26459999999997</v>
    <v>262.12329999999997</v>
    <v>260.44150000000002</v>
    <v>261.82909999999998</v>
    <v>261.78399999999999</v>
    <v>260.25299999999999</v>
    <v>253.49279999999999</v>
    <v>250.18539999999999</v>
    <v>251.77090000000001</v>
    <v>253.44049999999999</v>
    <v>256.654</v>
    <v>256.88749999999999</v>
    <v>255.57560000000001</v>
    <v>258.95229999999998</v>
    <v>261.80900000000003</v>
    <v>266.428</v>
    <v>264.20769999999999</v>
    <v>263.39370000000002</v>
  </a>
  <a r="1" c="84">
    <v t="i">0</v>
    <v t="i">1</v>
    <v t="i">2</v>
    <v t="i">3</v>
    <v t="i">4</v>
    <v t="i">7</v>
    <v t="i">8</v>
    <v t="i">9</v>
    <v t="i">10</v>
    <v t="i">11</v>
    <v t="i">14</v>
    <v t="i">15</v>
    <v t="i">16</v>
    <v t="i">17</v>
    <v t="i">18</v>
    <v t="i">21</v>
    <v t="i">22</v>
    <v t="i">28</v>
    <v t="i">29</v>
    <v t="i">32</v>
    <v t="i">35</v>
    <v t="i">37</v>
    <v t="i">38</v>
    <v t="i">39</v>
    <v t="i">42</v>
    <v t="i">43</v>
    <v t="i">44</v>
    <v t="i">45</v>
    <v t="i">46</v>
    <v t="i">49</v>
    <v t="i">50</v>
    <v t="i">51</v>
    <v t="i">52</v>
    <v t="i">53</v>
    <v t="i">56</v>
    <v t="i">57</v>
    <v t="i">58</v>
    <v t="i">59</v>
    <v t="i">60</v>
    <v t="i">63</v>
    <v t="i">64</v>
    <v t="i">65</v>
    <v t="i">66</v>
    <v t="i">67</v>
    <v t="i">70</v>
    <v t="i">71</v>
    <v t="i">72</v>
    <v t="i">73</v>
    <v t="i">74</v>
    <v t="i">77</v>
    <v t="i">78</v>
    <v t="i">79</v>
    <v t="i">80</v>
    <v t="i">81</v>
    <v t="i">84</v>
    <v t="i">85</v>
    <v t="i">86</v>
    <v t="i">87</v>
    <v t="i">88</v>
    <v t="i">91</v>
    <v t="i">92</v>
    <v t="i">93</v>
    <v t="i">94</v>
    <v t="i">95</v>
    <v t="i">98</v>
    <v t="i">99</v>
    <v t="i">100</v>
    <v t="i">101</v>
    <v t="i">102</v>
    <v t="i">105</v>
    <v t="i">106</v>
    <v t="i">107</v>
    <v t="i">108</v>
    <v t="i">109</v>
    <v t="i">112</v>
    <v t="i">113</v>
    <v t="i">114</v>
    <v t="i">115</v>
    <v t="i">116</v>
    <v t="i">119</v>
    <v t="i">120</v>
    <v t="i">121</v>
    <v t="i">122</v>
    <v t="i">127</v>
  </a>
  <a r="1" c="84">
    <v>607.3569</v>
    <v>609.44159999999999</v>
    <v>606.70090000000005</v>
    <v>609.15449999999998</v>
    <v>614.88139999999999</v>
    <v>611.61900000000003</v>
    <v>606.63739999999996</v>
    <v>609.95140000000004</v>
    <v>616.16549999999995</v>
    <v>619.56989999999996</v>
    <v>617.45000000000005</v>
    <v>613.67219999999998</v>
    <v>613.59119999999996</v>
    <v>616.06579999999997</v>
    <v>619.80560000000003</v>
    <v>617.01149999999996</v>
    <v>621.12559999999996</v>
    <v>622.62710000000004</v>
    <v>628.27409999999998</v>
    <v>629.9905</v>
    <v>630.61360000000002</v>
    <v>636.399</v>
    <v>633.32799999999997</v>
    <v>639.47460000000001</v>
    <v>640.79700000000003</v>
    <v>641.15549999999996</v>
    <v>643.76829999999995</v>
    <v>652.79060000000004</v>
    <v>650.4058</v>
    <v>640.67960000000005</v>
    <v>636.98530000000005</v>
    <v>643.00059999999996</v>
    <v>647.75429999999994</v>
    <v>644.56309999999996</v>
    <v>649.59789999999998</v>
    <v>652.52390000000003</v>
    <v>652.79970000000003</v>
    <v>653.58050000000003</v>
    <v>645.62300000000005</v>
    <v>653.21190000000001</v>
    <v>662.49670000000003</v>
    <v>677.42179999999996</v>
    <v>670.73829999999998</v>
    <v>675.87649999999996</v>
    <v>673.37450000000001</v>
    <v>678.34069999999997</v>
    <v>679.49310000000003</v>
    <v>679.149</v>
    <v>665.69219999999996</v>
    <v>672.87369999999999</v>
    <v>670.65639999999996</v>
    <v>678.98230000000001</v>
    <v>676.84450000000004</v>
    <v>682.2473</v>
    <v>684.34690000000001</v>
    <v>684.30769999999995</v>
    <v>688.02549999999997</v>
    <v>687.04430000000002</v>
    <v>683.61379999999997</v>
    <v>670.06679999999994</v>
    <v>650.55219999999997</v>
    <v>662.48860000000002</v>
    <v>658.28229999999996</v>
    <v>641.84190000000001</v>
    <v>637.24680000000001</v>
    <v>655.90070000000003</v>
    <v>652.83510000000001</v>
    <v>645.08929999999998</v>
    <v>643.46190000000001</v>
    <v>644.88879999999995</v>
    <v>647.62519999999995</v>
    <v>637.16290000000004</v>
    <v>619.73749999999995</v>
    <v>611.57169999999996</v>
    <v>623.97770000000003</v>
    <v>617.62580000000003</v>
    <v>629.51940000000002</v>
    <v>621.37099999999998</v>
    <v>618.22569999999996</v>
    <v>623.11569999999995</v>
    <v>635.83900000000006</v>
    <v>644.69650000000001</v>
    <v>639.80840000000001</v>
    <v>641.06399999999996</v>
  </a>
  <a r="1" c="85">
    <v>22.545000000000002</v>
    <v>22.43</v>
    <v>22.324999999999999</v>
    <v>22.375</v>
    <v>22.565000000000001</v>
    <v>22.465</v>
    <v>22.37</v>
    <v>22.465</v>
    <v>22.385000000000002</v>
    <v>22.215</v>
    <v>22.215</v>
    <v>21.805</v>
    <v>21.8</v>
    <v>22.11</v>
    <v>22.355</v>
    <v>22.434999999999999</v>
    <v>22.445</v>
    <v>22.614999999999998</v>
    <v>22.785</v>
    <v>23.21</v>
    <v>23.125</v>
    <v>23.76</v>
    <v>23.675000000000001</v>
    <v>23.53</v>
    <v>23.7</v>
    <v>23.875</v>
    <v>23.945</v>
    <v>23.99</v>
    <v>24.414999999999999</v>
    <v>24.12</v>
    <v>24.135000000000002</v>
    <v>23.795000000000002</v>
    <v>24.05</v>
    <v>24.17</v>
    <v>24.11</v>
    <v>24.02</v>
    <v>24.27</v>
    <v>24.465</v>
    <v>24.344999999999999</v>
    <v>24.175000000000001</v>
    <v>24.22</v>
    <v>24.45</v>
    <v>24.29</v>
    <v>24.184999999999999</v>
    <v>24.515000000000001</v>
    <v>24.66</v>
    <v>24.844999999999999</v>
    <v>25.045000000000002</v>
    <v>24.84</v>
    <v>24.745000000000001</v>
    <v>24.875</v>
    <v>24.8</v>
    <v>25.225000000000001</v>
    <v>25.015000000000001</v>
    <v>25.5</v>
    <v>25.445</v>
    <v>25.815000000000001</v>
    <v>25.96</v>
    <v>25.805</v>
    <v>25.62</v>
    <v>25.425000000000001</v>
    <v>24.18</v>
    <v>24.63</v>
    <v>24.265000000000001</v>
    <v>24.1</v>
    <v>24.01</v>
    <v>24.68</v>
    <v>24.53</v>
    <v>24.23</v>
    <v>24.065000000000001</v>
    <v>24.344999999999999</v>
    <v>24.434999999999999</v>
    <v>24.39</v>
    <v>23.835000000000001</v>
    <v>23.555</v>
    <v>23.504999999999999</v>
    <v>23.65</v>
    <v>24.004999999999999</v>
    <v>23.465</v>
    <v>23.315000000000001</v>
    <v>23.184999999999999</v>
    <v>23.305</v>
    <v>24</v>
    <v>23.75</v>
    <v>23.66</v>
  </a>
  <a r="1" c="87">
    <v t="i">0</v>
    <v t="i">1</v>
    <v t="i">2</v>
    <v t="i">3</v>
    <v t="i">4</v>
    <v t="i">7</v>
    <v t="i">8</v>
    <v t="i">9</v>
    <v t="i">10</v>
    <v t="i">11</v>
    <v t="i">14</v>
    <v t="i">15</v>
    <v t="i">16</v>
    <v t="i">17</v>
    <v t="i">18</v>
    <v t="i">21</v>
    <v t="i">22</v>
    <v t="i">23</v>
    <v t="i">25</v>
    <v t="i">28</v>
    <v t="i">29</v>
    <v t="i">30</v>
    <v t="i">32</v>
    <v t="i">35</v>
    <v t="i">36</v>
    <v t="i">37</v>
    <v t="i">38</v>
    <v t="i">39</v>
    <v t="i">42</v>
    <v t="i">43</v>
    <v t="i">44</v>
    <v t="i">45</v>
    <v t="i">46</v>
    <v t="i">50</v>
    <v t="i">51</v>
    <v t="i">52</v>
    <v t="i">53</v>
    <v t="i">56</v>
    <v t="i">57</v>
    <v t="i">58</v>
    <v t="i">59</v>
    <v t="i">60</v>
    <v t="i">63</v>
    <v t="i">64</v>
    <v t="i">65</v>
    <v t="i">66</v>
    <v t="i">67</v>
    <v t="i">70</v>
    <v t="i">71</v>
    <v t="i">72</v>
    <v t="i">73</v>
    <v t="i">74</v>
    <v t="i">78</v>
    <v t="i">79</v>
    <v t="i">80</v>
    <v t="i">81</v>
    <v t="i">84</v>
    <v t="i">85</v>
    <v t="i">86</v>
    <v t="i">87</v>
    <v t="i">88</v>
    <v t="i">91</v>
    <v t="i">92</v>
    <v t="i">93</v>
    <v t="i">94</v>
    <v t="i">95</v>
    <v t="i">98</v>
    <v t="i">99</v>
    <v t="i">100</v>
    <v t="i">101</v>
    <v t="i">102</v>
    <v t="i">105</v>
    <v t="i">106</v>
    <v t="i">107</v>
    <v t="i">108</v>
    <v t="i">109</v>
    <v t="i">112</v>
    <v t="i">113</v>
    <v t="i">114</v>
    <v t="i">115</v>
    <v t="i">116</v>
    <v t="i">119</v>
    <v t="i">120</v>
    <v t="i">121</v>
    <v t="i">122</v>
    <v t="i">126</v>
    <v t="i">127</v>
  </a>
  <a r="1" c="87">
    <v>88.77</v>
    <v>88.81</v>
    <v>89.06</v>
    <v>88.58</v>
    <v>88.17</v>
    <v>87.88</v>
    <v>87.97</v>
    <v>88.31</v>
    <v>88.19</v>
    <v>87.34</v>
    <v>87.4</v>
    <v>87.88</v>
    <v>87.8</v>
    <v>88.22</v>
    <v>87.55</v>
    <v>87.36</v>
    <v>87.5</v>
    <v>88.03</v>
    <v>87.74</v>
    <v>88.07</v>
    <v>87.86</v>
    <v>87.16</v>
    <v>87.03</v>
    <v>87.46</v>
    <v>87.28</v>
    <v>87.79</v>
    <v>87.35</v>
    <v>87.93</v>
    <v>87.67</v>
    <v>87.82</v>
    <v>88.33</v>
    <v>88.31</v>
    <v>87.8</v>
    <v>86.65</v>
    <v>87.31</v>
    <v>87.69</v>
    <v>87.93</v>
    <v>88.35</v>
    <v>87.8</v>
    <v>87.6</v>
    <v>87.62</v>
    <v>87.13</v>
    <v>86.55</v>
    <v>86.76</v>
    <v>86.54</v>
    <v>87.48</v>
    <v>87.54</v>
    <v>87.52</v>
    <v>88.53</v>
    <v>88.06</v>
    <v>89.23</v>
    <v>89.72</v>
    <v>89.87</v>
    <v>89.53</v>
    <v>89.62</v>
    <v>89.41</v>
    <v>89.74</v>
    <v>89.9</v>
    <v>89.91</v>
    <v>90.27</v>
    <v>90.82</v>
    <v>89.61</v>
    <v>89.43</v>
    <v>89.15</v>
    <v>88.79</v>
    <v>88.46</v>
    <v>89.23</v>
    <v>88.28</v>
    <v>87.14</v>
    <v>86.97</v>
    <v>86.54</v>
    <v>87.21</v>
    <v>87.45</v>
    <v>86.954999999999998</v>
    <v>87.49</v>
    <v>85.83</v>
    <v>86.385000000000005</v>
    <v>86.01</v>
    <v>86.84</v>
    <v>86.11</v>
    <v>85.64</v>
    <v>86.78</v>
    <v>86.69</v>
    <v>86.26</v>
    <v>86.79</v>
    <v>86.65</v>
    <v>86.64</v>
  </a>
  <a r="1" c="85">
    <v>137.79239999999999</v>
    <v>135.92070000000001</v>
    <v>134.7302</v>
    <v>135.97190000000001</v>
    <v>136.06610000000001</v>
    <v>134.82400000000001</v>
    <v>134.4547</v>
    <v>134.76560000000001</v>
    <v>136.12129999999999</v>
    <v>136.7989</v>
    <v>136.01599999999999</v>
    <v>135.64959999999999</v>
    <v>135.11080000000001</v>
    <v>136.48589999999999</v>
    <v>137.01769999999999</v>
    <v>137.3288</v>
    <v>137.7706</v>
    <v>139.17859999999999</v>
    <v>139.54089999999999</v>
    <v>139.53980000000001</v>
    <v>137.61699999999999</v>
    <v>137.0624</v>
    <v>139.1447</v>
    <v>137.74600000000001</v>
    <v>138.74539999999999</v>
    <v>137.59389999999999</v>
    <v>137.01910000000001</v>
    <v>136.34039999999999</v>
    <v>136.96289999999999</v>
    <v>136.6901</v>
    <v>132.2336</v>
    <v>132.2602</v>
    <v>130.91480000000001</v>
    <v>132.71039999999999</v>
    <v>132.96719999999999</v>
    <v>132.26429999999999</v>
    <v>131.92779999999999</v>
    <v>131.43639999999999</v>
    <v>129.75899999999999</v>
    <v>127.8724</v>
    <v>128.2842</v>
    <v>126.6961</v>
    <v>127.15309999999999</v>
    <v>127.1435</v>
    <v>127.2475</v>
    <v>127.5626</v>
    <v>128.00110000000001</v>
    <v>124.1905</v>
    <v>120.7448</v>
    <v>122.36450000000001</v>
    <v>120.86499999999999</v>
    <v>119.30629999999999</v>
    <v>120.539</v>
    <v>121.8719</v>
    <v>122.62439999999999</v>
    <v>120.4186</v>
    <v>121.0575</v>
    <v>120.8664</v>
    <v>121.88379999999999</v>
    <v>123.0218</v>
    <v>120.6932</v>
    <v>118.0941</v>
    <v>120.46810000000001</v>
    <v>121.0309</v>
    <v>121.2783</v>
    <v>118.95659999999999</v>
    <v>121.00579999999999</v>
    <v>120.54940000000001</v>
    <v>120.54259999999999</v>
    <v>120.0466</v>
    <v>123.5783</v>
    <v>123.37609999999999</v>
    <v>124.6639</v>
    <v>123.7013</v>
    <v>119.71680000000001</v>
    <v>121.44289999999999</v>
    <v>121.1484</v>
    <v>123.98779999999999</v>
    <v>123.5205</v>
    <v>121.9466</v>
    <v>122.9371</v>
    <v>125.2229</v>
    <v>128.4016</v>
    <v>125.6857</v>
    <v>125.7482</v>
  </a>
  <a r="1" c="86">
    <v t="i">0</v>
    <v t="i">1</v>
    <v t="i">2</v>
    <v t="i">3</v>
    <v t="i">4</v>
    <v t="i">7</v>
    <v t="i">8</v>
    <v t="i">9</v>
    <v t="i">10</v>
    <v t="i">11</v>
    <v t="i">14</v>
    <v t="i">15</v>
    <v t="i">16</v>
    <v t="i">17</v>
    <v t="i">18</v>
    <v t="i">21</v>
    <v t="i">22</v>
    <v t="i">28</v>
    <v t="i">29</v>
    <v t="i">30</v>
    <v t="i">32</v>
    <v t="i">35</v>
    <v t="i">36</v>
    <v t="i">37</v>
    <v t="i">38</v>
    <v t="i">39</v>
    <v t="i">42</v>
    <v t="i">43</v>
    <v t="i">44</v>
    <v t="i">45</v>
    <v t="i">46</v>
    <v t="i">49</v>
    <v t="i">50</v>
    <v t="i">51</v>
    <v t="i">52</v>
    <v t="i">53</v>
    <v t="i">56</v>
    <v t="i">57</v>
    <v t="i">58</v>
    <v t="i">59</v>
    <v t="i">60</v>
    <v t="i">63</v>
    <v t="i">64</v>
    <v t="i">65</v>
    <v t="i">66</v>
    <v t="i">67</v>
    <v t="i">70</v>
    <v t="i">71</v>
    <v t="i">72</v>
    <v t="i">73</v>
    <v t="i">74</v>
    <v t="i">77</v>
    <v t="i">78</v>
    <v t="i">79</v>
    <v t="i">80</v>
    <v t="i">81</v>
    <v t="i">84</v>
    <v t="i">85</v>
    <v t="i">86</v>
    <v t="i">87</v>
    <v t="i">88</v>
    <v t="i">91</v>
    <v t="i">92</v>
    <v t="i">93</v>
    <v t="i">94</v>
    <v t="i">95</v>
    <v t="i">98</v>
    <v t="i">99</v>
    <v t="i">100</v>
    <v t="i">101</v>
    <v t="i">102</v>
    <v t="i">105</v>
    <v t="i">106</v>
    <v t="i">107</v>
    <v t="i">108</v>
    <v t="i">109</v>
    <v t="i">112</v>
    <v t="i">113</v>
    <v t="i">114</v>
    <v t="i">115</v>
    <v t="i">116</v>
    <v t="i">119</v>
    <v t="i">120</v>
    <v t="i">121</v>
    <v t="i">122</v>
    <v t="i">127</v>
  </a>
  <a r="1" c="86">
    <v>116.21</v>
    <v>115.95</v>
    <v>115.95</v>
    <v>115.7</v>
    <v>115.65</v>
    <v>115.74</v>
    <v>115.75</v>
    <v>115.54</v>
    <v>115.34</v>
    <v>115.56</v>
    <v>115.52</v>
    <v>115.63</v>
    <v>116.09</v>
    <v>115.43</v>
    <v>115</v>
    <v>114.58</v>
    <v>114.38</v>
    <v>114.25</v>
    <v>114.21</v>
    <v>114.5</v>
    <v>114.39</v>
    <v>113.95</v>
    <v>113.9</v>
    <v>114.34</v>
    <v>114.53</v>
    <v>113.94</v>
    <v>113.63</v>
    <v>114.01</v>
    <v>114.41</v>
    <v>114.31</v>
    <v>114.58</v>
    <v>114.84</v>
    <v>115.65</v>
    <v>115.43</v>
    <v>114.84</v>
    <v>114.8</v>
    <v>114.89</v>
    <v>114.89</v>
    <v>115.08</v>
    <v>115.36</v>
    <v>115.36</v>
    <v>115.19</v>
    <v>115.21</v>
    <v>115.57</v>
    <v>116.32</v>
    <v>115.36</v>
    <v>114.98</v>
    <v>115.13</v>
    <v>115.11</v>
    <v>115.94</v>
    <v>116.14</v>
    <v>116.08</v>
    <v>115.78</v>
    <v>115.45</v>
    <v>115.71</v>
    <v>115.55</v>
    <v>116.07</v>
    <v>115.64</v>
    <v>115.06</v>
    <v>115.4</v>
    <v>115.62</v>
    <v>116.27</v>
    <v>117.38</v>
    <v>116.91</v>
    <v>117.34</v>
    <v>118.38</v>
    <v>118.59</v>
    <v>118.34</v>
    <v>118.63</v>
    <v>119.21</v>
    <v>119.57</v>
    <v>118.99</v>
    <v>118.69</v>
    <v>119.45</v>
    <v>119.66</v>
    <v>120.41</v>
    <v>120.61</v>
    <v>120.54</v>
    <v>120.42</v>
    <v>121.29</v>
    <v>122.18</v>
    <v>122.17</v>
    <v>121.11</v>
    <v>120.38</v>
    <v>120.59</v>
    <v>120.7</v>
  </a>
  <a r="1" c="84">
    <v>226.54689999999999</v>
    <v>226.40450000000001</v>
    <v>225.68270000000001</v>
    <v>229.04759999999999</v>
    <v>229.3432</v>
    <v>227.95779999999999</v>
    <v>226.11840000000001</v>
    <v>226.5949</v>
    <v>227.91849999999999</v>
    <v>228.03880000000001</v>
    <v>228.39349999999999</v>
    <v>227.68360000000001</v>
    <v>226.16480000000001</v>
    <v>228.71690000000001</v>
    <v>228.68539999999999</v>
    <v>229.57589999999999</v>
    <v>230.04249999999999</v>
    <v>231.80350000000001</v>
    <v>233.2088</v>
    <v>230.78039999999999</v>
    <v>231.5675</v>
    <v>239.07810000000001</v>
    <v>235.56129999999999</v>
    <v>238.5487</v>
    <v>237.52010000000001</v>
    <v>238.19300000000001</v>
    <v>238.9392</v>
    <v>243.3887</v>
    <v>243.72559999999999</v>
    <v>234.74789999999999</v>
    <v>233.45349999999999</v>
    <v>234.37649999999999</v>
    <v>236.75620000000001</v>
    <v>236.62549999999999</v>
    <v>235.8777</v>
    <v>237.4263</v>
    <v>237.6514</v>
    <v>237.96119999999999</v>
    <v>237.91669999999999</v>
    <v>240.32480000000001</v>
    <v>242.80009999999999</v>
    <v>246.16079999999999</v>
    <v>245.6146</v>
    <v>247.893</v>
    <v>249.10059999999999</v>
    <v>249.8193</v>
    <v>249.97380000000001</v>
    <v>245.7945</v>
    <v>244.97139999999999</v>
    <v>243.73269999999999</v>
    <v>244.6482</v>
    <v>246.00120000000001</v>
    <v>247.33330000000001</v>
    <v>249.91759999999999</v>
    <v>248.71469999999999</v>
    <v>251.14340000000001</v>
    <v>251.72389999999999</v>
    <v>254.2208</v>
    <v>256.0498</v>
    <v>249.7261</v>
    <v>242.78540000000001</v>
    <v>245.6842</v>
    <v>242.60400000000001</v>
    <v>240.39500000000001</v>
    <v>234.66290000000001</v>
    <v>241.58959999999999</v>
    <v>238.678</v>
    <v>239.10319999999999</v>
    <v>235.03559999999999</v>
    <v>235.06950000000001</v>
    <v>235.1772</v>
    <v>234.5351</v>
    <v>225.9059</v>
    <v>222.21979999999999</v>
    <v>224.2585</v>
    <v>224.4795</v>
    <v>228.8133</v>
    <v>226.95599999999999</v>
    <v>225.62389999999999</v>
    <v>227.68469999999999</v>
    <v>231.3417</v>
    <v>236.9528</v>
    <v>233.56790000000001</v>
    <v>233.92240000000001</v>
  </a>
  <a r="1" c="84">
    <v>261.26499999999999</v>
    <v>261.07709999999997</v>
    <v>260.97699999999998</v>
    <v>261.41750000000002</v>
    <v>260.36739999999998</v>
    <v>259.31909999999999</v>
    <v>258.9853</v>
    <v>258.24720000000002</v>
    <v>259.57859999999999</v>
    <v>259.57769999999999</v>
    <v>260.50850000000003</v>
    <v>260.52600000000001</v>
    <v>260.52280000000002</v>
    <v>261.0455</v>
    <v>260.79509999999999</v>
    <v>260.6918</v>
    <v>261.96010000000001</v>
    <v>262.76859999999999</v>
    <v>262.83150000000001</v>
    <v>262.3528</v>
    <v>261.1592</v>
    <v>263.15910000000002</v>
    <v>263.40230000000003</v>
    <v>263.0025</v>
    <v>263.70929999999998</v>
    <v>263.84280000000001</v>
    <v>264.08420000000001</v>
    <v>264.68810000000002</v>
    <v>263.96629999999999</v>
    <v>264.64670000000001</v>
    <v>263.68900000000002</v>
    <v>263.40449999999998</v>
    <v>263.04849999999999</v>
    <v>262.52330000000001</v>
    <v>263.04020000000003</v>
    <v>263.2681</v>
    <v>264.24430000000001</v>
    <v>265.31400000000002</v>
    <v>265.9042</v>
    <v>265.48399999999998</v>
    <v>264.75900000000001</v>
    <v>266.72179999999997</v>
    <v>267.8528</v>
    <v>267.80459999999999</v>
    <v>268.24259999999998</v>
    <v>269.02659999999997</v>
    <v>268.79050000000001</v>
    <v>269.82319999999999</v>
    <v>271.15620000000001</v>
    <v>271.39339999999999</v>
    <v>271.66840000000002</v>
    <v>271.82220000000001</v>
    <v>270.90129999999999</v>
    <v>270.29469999999998</v>
    <v>270.60809999999998</v>
    <v>271.17689999999999</v>
    <v>271.05410000000001</v>
    <v>271.57729999999998</v>
    <v>272.6816</v>
    <v>271.04739999999998</v>
    <v>268.05399999999997</v>
    <v>268.83</v>
    <v>267.58859999999999</v>
    <v>265.81110000000001</v>
    <v>263.73419999999999</v>
    <v>266.09840000000003</v>
    <v>263.88249999999999</v>
    <v>263.44659999999999</v>
    <v>262.92079999999999</v>
    <v>263.68860000000001</v>
    <v>264.8091</v>
    <v>263.97829999999999</v>
    <v>262.39940000000001</v>
    <v>258.42559999999997</v>
    <v>259.851</v>
    <v>258.42869999999999</v>
    <v>258.61349999999999</v>
    <v>256.41770000000002</v>
    <v>255.0761</v>
    <v>256.92189999999999</v>
    <v>258.28960000000001</v>
    <v>259.62189999999998</v>
    <v>257.76060000000001</v>
    <v>257.2937</v>
  </a>
  <a r="1" c="85">
    <v>2.8721000000000001</v>
    <v>2.8751000000000002</v>
    <v>2.8618000000000001</v>
    <v>2.8582000000000001</v>
    <v>2.8443000000000001</v>
    <v>2.8365999999999998</v>
    <v>2.8447</v>
    <v>2.8529</v>
    <v>2.7696000000000001</v>
    <v>2.7309999999999999</v>
    <v>2.7406999999999999</v>
    <v>2.7376999999999998</v>
    <v>2.7425000000000002</v>
    <v>2.7684000000000002</v>
    <v>2.762</v>
    <v>2.7464</v>
    <v>2.7427000000000001</v>
    <v>2.7614999999999998</v>
    <v>2.7505000000000002</v>
    <v>2.7378999999999998</v>
    <v>2.75</v>
    <v>2.7486999999999999</v>
    <v>2.7738</v>
    <v>2.7703000000000002</v>
    <v>2.7837999999999998</v>
    <v>2.7677</v>
    <v>2.7774000000000001</v>
    <v>2.7966000000000002</v>
    <v>2.8134000000000001</v>
    <v>2.8020999999999998</v>
    <v>2.7597999999999998</v>
    <v>2.7342</v>
    <v>2.7416</v>
    <v>2.7454999999999998</v>
    <v>2.7517999999999998</v>
    <v>2.7393999999999998</v>
    <v>2.7121</v>
    <v>2.7075</v>
    <v>2.7054</v>
    <v>2.7139000000000002</v>
    <v>2.7202000000000002</v>
    <v>2.7138</v>
    <v>2.718</v>
    <v>2.7431999999999999</v>
    <v>2.7364999999999999</v>
    <v>2.7168999999999999</v>
    <v>2.7551000000000001</v>
    <v>2.7541000000000002</v>
    <v>2.7707999999999999</v>
    <v>2.7999000000000001</v>
    <v>2.8107000000000002</v>
    <v>2.8168000000000002</v>
    <v>2.8159000000000001</v>
    <v>2.819</v>
    <v>2.8096999999999999</v>
    <v>2.8249</v>
    <v>2.8288000000000002</v>
    <v>2.8245</v>
    <v>2.8334000000000001</v>
    <v>2.8466</v>
    <v>2.8529</v>
    <v>2.8689</v>
    <v>2.8542000000000001</v>
    <v>2.8489</v>
    <v>2.8340000000000001</v>
    <v>2.8508</v>
    <v>2.8376000000000001</v>
    <v>2.8071000000000002</v>
    <v>2.8081999999999998</v>
    <v>2.8130000000000002</v>
    <v>2.8203</v>
    <v>2.8231000000000002</v>
    <v>2.8209</v>
    <v>2.8271999999999999</v>
    <v>2.7703000000000002</v>
    <v>2.7665000000000002</v>
    <v>2.7625999999999999</v>
    <v>2.7932999999999999</v>
    <v>2.7787999999999999</v>
    <v>2.7778</v>
    <v>2.8220999999999998</v>
    <v>2.7974000000000001</v>
    <v>2.7867999999999999</v>
    <v>2.8081</v>
    <v>2.7804000000000002</v>
  </a>
  <a r="1" c="87">
    <v t="i">0</v>
    <v t="i">1</v>
    <v t="i">2</v>
    <v t="i">3</v>
    <v t="i">4</v>
    <v t="i">7</v>
    <v t="i">8</v>
    <v t="i">9</v>
    <v t="i">10</v>
    <v t="i">11</v>
    <v t="i">14</v>
    <v t="i">15</v>
    <v t="i">16</v>
    <v t="i">17</v>
    <v t="i">18</v>
    <v t="i">21</v>
    <v t="i">22</v>
    <v t="i">23</v>
    <v t="i">28</v>
    <v t="i">29</v>
    <v t="i">30</v>
    <v t="i">32</v>
    <v t="i">35</v>
    <v t="i">36</v>
    <v t="i">37</v>
    <v t="i">38</v>
    <v t="i">39</v>
    <v t="i">42</v>
    <v t="i">43</v>
    <v t="i">44</v>
    <v t="i">45</v>
    <v t="i">46</v>
    <v t="i">49</v>
    <v t="i">50</v>
    <v t="i">51</v>
    <v t="i">52</v>
    <v t="i">53</v>
    <v t="i">56</v>
    <v t="i">57</v>
    <v t="i">58</v>
    <v t="i">59</v>
    <v t="i">60</v>
    <v t="i">63</v>
    <v t="i">64</v>
    <v t="i">65</v>
    <v t="i">66</v>
    <v t="i">67</v>
    <v t="i">70</v>
    <v t="i">71</v>
    <v t="i">72</v>
    <v t="i">73</v>
    <v t="i">74</v>
    <v t="i">77</v>
    <v t="i">78</v>
    <v t="i">79</v>
    <v t="i">80</v>
    <v t="i">81</v>
    <v t="i">84</v>
    <v t="i">85</v>
    <v t="i">86</v>
    <v t="i">87</v>
    <v t="i">88</v>
    <v t="i">91</v>
    <v t="i">92</v>
    <v t="i">93</v>
    <v t="i">94</v>
    <v t="i">95</v>
    <v t="i">98</v>
    <v t="i">99</v>
    <v t="i">100</v>
    <v t="i">101</v>
    <v t="i">102</v>
    <v t="i">105</v>
    <v t="i">106</v>
    <v t="i">107</v>
    <v t="i">108</v>
    <v t="i">109</v>
    <v t="i">112</v>
    <v t="i">113</v>
    <v t="i">114</v>
    <v t="i">115</v>
    <v t="i">116</v>
    <v t="i">119</v>
    <v t="i">120</v>
    <v t="i">121</v>
    <v t="i">122</v>
    <v t="i">127</v>
  </a>
  <a r="1" c="87">
    <v>397</v>
    <v>396.5</v>
    <v>396.5</v>
    <v>400.5</v>
    <v>401</v>
    <v>401.5</v>
    <v>401.5</v>
    <v>400.5</v>
    <v>402.5</v>
    <v>403</v>
    <v>402.5</v>
    <v>399</v>
    <v>397.5</v>
    <v>399.5</v>
    <v>396.5</v>
    <v>396</v>
    <v>395</v>
    <v>395.5</v>
    <v>396</v>
    <v>400</v>
    <v>399</v>
    <v>401</v>
    <v>400</v>
    <v>401.5</v>
    <v>402.5</v>
    <v>404</v>
    <v>404</v>
    <v>400</v>
    <v>400</v>
    <v>403.5</v>
    <v>402.5</v>
    <v>401</v>
    <v>402</v>
    <v>403</v>
    <v>405.5</v>
    <v>404</v>
    <v>401.5</v>
    <v>414</v>
    <v>412.5</v>
    <v>413</v>
    <v>414</v>
    <v>414</v>
    <v>417</v>
    <v>421</v>
    <v>422.5</v>
    <v>432</v>
    <v>430</v>
    <v>430</v>
    <v>429</v>
    <v>423</v>
    <v>424</v>
    <v>423.5</v>
    <v>427</v>
    <v>427.5</v>
    <v>428.5</v>
    <v>425.5</v>
    <v>426</v>
    <v>427</v>
    <v>430</v>
    <v>432.5</v>
    <v>432</v>
    <v>433</v>
    <v>432.5</v>
    <v>435</v>
    <v>435</v>
    <v>438.5</v>
    <v>439</v>
    <v>440.5</v>
    <v>444</v>
    <v>432.5</v>
    <v>430</v>
    <v>436</v>
    <v>437.5</v>
    <v>427</v>
    <v>425</v>
    <v>423.5</v>
    <v>423</v>
    <v>423</v>
    <v>423</v>
    <v>420</v>
    <v>417.5</v>
    <v>413</v>
    <v>418</v>
    <v>421</v>
    <v>420</v>
    <v>414.5</v>
    <v>411.5</v>
  </a>
  <a r="1" c="85">
    <v>4.5881999999999996</v>
    <v>4.5865</v>
    <v>4.5857000000000001</v>
    <v>4.5651000000000002</v>
    <v>4.5458999999999996</v>
    <v>4.5229999999999997</v>
    <v>4.5366999999999997</v>
    <v>4.5358000000000001</v>
    <v>4.5419</v>
    <v>4.5159000000000002</v>
    <v>4.5307000000000004</v>
    <v>4.5366</v>
    <v>4.5232999999999999</v>
    <v>4.5220000000000002</v>
    <v>4.4733999999999998</v>
    <v>4.4760999999999997</v>
    <v>4.5210999999999997</v>
    <v>4.5476000000000001</v>
    <v>4.5365000000000002</v>
    <v>4.4805999999999999</v>
    <v>4.5030999999999999</v>
    <v>4.5232999999999999</v>
    <v>4.5575000000000001</v>
    <v>4.5364000000000004</v>
    <v>4.5396999999999998</v>
    <v>4.5696000000000003</v>
    <v>4.5549999999999997</v>
    <v>4.5778999999999996</v>
    <v>4.6036999999999999</v>
    <v>4.5792000000000002</v>
    <v>4.5617999999999999</v>
    <v>4.5396000000000001</v>
    <v>4.5166000000000004</v>
    <v>4.5427999999999997</v>
    <v>4.5473999999999997</v>
    <v>4.5789</v>
    <v>4.5712000000000002</v>
    <v>4.5753000000000004</v>
    <v>4.5755999999999997</v>
    <v>4.5655999999999999</v>
    <v>4.5514000000000001</v>
    <v>4.5278</v>
    <v>4.5433000000000003</v>
    <v>4.5551000000000004</v>
    <v>4.5461</v>
    <v>4.5350000000000001</v>
    <v>4.5766</v>
    <v>4.5959000000000003</v>
    <v>4.609</v>
    <v>4.6261000000000001</v>
    <v>4.6227</v>
    <v>4.6532</v>
    <v>4.6631999999999998</v>
    <v>4.6612</v>
    <v>4.6767000000000003</v>
    <v>4.6863999999999999</v>
    <v>4.6943999999999999</v>
    <v>4.6985999999999999</v>
    <v>4.7188999999999997</v>
    <v>4.7461000000000002</v>
    <v>4.7085999999999997</v>
    <v>4.6699000000000002</v>
    <v>4.6687000000000003</v>
    <v>4.6273</v>
    <v>4.6298000000000004</v>
    <v>4.6299000000000001</v>
    <v>4.6359000000000004</v>
    <v>4.5953999999999997</v>
    <v>4.5660999999999996</v>
    <v>4.5396000000000001</v>
    <v>4.5648999999999997</v>
    <v>4.6017999999999999</v>
    <v>4.6001000000000003</v>
    <v>4.6143999999999998</v>
    <v>4.5502000000000002</v>
    <v>4.5826000000000002</v>
    <v>4.5789</v>
    <v>4.6360000000000001</v>
    <v>4.5595999999999997</v>
    <v>4.5121000000000002</v>
    <v>4.5633999999999997</v>
    <v>4.6024000000000003</v>
    <v>4.6052</v>
    <v>4.6071</v>
    <v>4.5411000000000001</v>
  </a>
  <a r="1" c="85">
    <v>13.09</v>
    <v>12.965999999999999</v>
    <v>12.938000000000001</v>
    <v>12.98</v>
    <v>13.032</v>
    <v>12.936</v>
    <v>12.858000000000001</v>
    <v>12.837999999999999</v>
    <v>12.77</v>
    <v>12.704000000000001</v>
    <v>12.592000000000001</v>
    <v>12.476000000000001</v>
    <v>12.548</v>
    <v>12.606</v>
    <v>12.612</v>
    <v>12.715999999999999</v>
    <v>12.766</v>
    <v>12.776</v>
    <v>12.89</v>
    <v>12.811999999999999</v>
    <v>12.968</v>
    <v>13.118</v>
    <v>12.988</v>
    <v>13.028</v>
    <v>13.24</v>
    <v>13.256</v>
    <v>13.398</v>
    <v>13.438000000000001</v>
    <v>13.343999999999999</v>
    <v>13.348000000000001</v>
    <v>13.38</v>
    <v>13.288</v>
    <v>13.382</v>
    <v>13.321999999999999</v>
    <v>13.476000000000001</v>
    <v>13.462</v>
    <v>13.454000000000001</v>
    <v>13.62</v>
    <v>13.752000000000001</v>
    <v>13.672000000000001</v>
    <v>13.308</v>
    <v>13.458</v>
    <v>13.465999999999999</v>
    <v>13.352</v>
    <v>13.43</v>
    <v>13.426</v>
    <v>13.388</v>
    <v>13.51</v>
    <v>13.31</v>
    <v>13.28</v>
    <v>13.324</v>
    <v>13.202</v>
    <v>13.464</v>
    <v>13.63</v>
    <v>13.704000000000001</v>
    <v>13.756</v>
    <v>13.754</v>
    <v>13.766</v>
    <v>13.814</v>
    <v>13.82</v>
    <v>14.27</v>
    <v>14.558</v>
    <v>14.41</v>
    <v>14.667999999999999</v>
    <v>15.026</v>
    <v>15.314</v>
    <v>14.974</v>
    <v>15.29</v>
    <v>15.673999999999999</v>
    <v>15.824</v>
    <v>15.506</v>
    <v>15.624000000000001</v>
    <v>15.878</v>
    <v>15.77</v>
    <v>15.704000000000001</v>
    <v>15.246</v>
    <v>15.433999999999999</v>
    <v>15.37</v>
    <v>15.666</v>
    <v>15.805999999999999</v>
    <v>16.004000000000001</v>
    <v>15.872</v>
    <v>15.446</v>
    <v>15.602</v>
    <v>15.805999999999999</v>
  </a>
  <a r="1" c="84">
    <v>146.69999999999999</v>
    <v>146.68</v>
    <v>146.69</v>
    <v>146.51</v>
    <v>146.27000000000001</v>
    <v>146.07</v>
    <v>146.11000000000001</v>
    <v>145.87</v>
    <v>146.16</v>
    <v>146.09</v>
    <v>146.36000000000001</v>
    <v>146.46</v>
    <v>146.44</v>
    <v>146.63999999999999</v>
    <v>146.51</v>
    <v>146.51</v>
    <v>146.76</v>
    <v>147.01</v>
    <v>146.94999999999999</v>
    <v>146.65</v>
    <v>146.38999999999999</v>
    <v>146.69999999999999</v>
    <v>146.36000000000001</v>
    <v>146.31</v>
    <v>146.43</v>
    <v>146.4</v>
    <v>146.46</v>
    <v>146.47999999999999</v>
    <v>146.31</v>
    <v>146.53</v>
    <v>146.4</v>
    <v>146.36000000000001</v>
    <v>146.15</v>
    <v>146.01</v>
    <v>146.11000000000001</v>
    <v>146.16999999999999</v>
    <v>146.32</v>
    <v>146.56</v>
    <v>146.66</v>
    <v>146.58000000000001</v>
    <v>146.43</v>
    <v>146.80000000000001</v>
    <v>146.81</v>
    <v>146.79</v>
    <v>146.86000000000001</v>
    <v>146.99</v>
    <v>146.93</v>
    <v>147.15</v>
    <v>147.37</v>
    <v>147.41</v>
    <v>147.46</v>
    <v>147.43</v>
    <v>147.15</v>
    <v>147.03</v>
    <v>147.09</v>
    <v>147.21</v>
    <v>147.26</v>
    <v>147.36000000000001</v>
    <v>147.62</v>
    <v>147.51</v>
    <v>147.03</v>
    <v>147.31</v>
    <v>147.08000000000001</v>
    <v>146.9</v>
    <v>147.36000000000001</v>
    <v>147.44</v>
    <v>147.03</v>
    <v>147.1</v>
    <v>147.41</v>
    <v>147.55000000000001</v>
    <v>147.75</v>
    <v>147.46</v>
    <v>147.5</v>
    <v>146.72999999999999</v>
    <v>147.30000000000001</v>
    <v>146.94999999999999</v>
    <v>147.09</v>
    <v>146.66</v>
    <v>146.79</v>
    <v>147.26</v>
    <v>147.57</v>
    <v>147.85</v>
    <v>147.52000000000001</v>
    <v>146.88</v>
  </a>
  <a r="1" c="82">
    <v t="i">0</v>
    <v t="i">1</v>
    <v t="i">2</v>
    <v t="i">3</v>
    <v t="i">4</v>
    <v t="i">7</v>
    <v t="i">8</v>
    <v t="i">9</v>
    <v t="i">10</v>
    <v t="i">11</v>
    <v t="i">14</v>
    <v t="i">15</v>
    <v t="i">16</v>
    <v t="i">17</v>
    <v t="i">18</v>
    <v t="i">21</v>
    <v t="i">22</v>
    <v t="i">28</v>
    <v t="i">29</v>
    <v t="i">32</v>
    <v t="i">35</v>
    <v t="i">37</v>
    <v t="i">38</v>
    <v t="i">39</v>
    <v t="i">42</v>
    <v t="i">43</v>
    <v t="i">44</v>
    <v t="i">45</v>
    <v t="i">46</v>
    <v t="i">49</v>
    <v t="i">50</v>
    <v t="i">51</v>
    <v t="i">52</v>
    <v t="i">53</v>
    <v t="i">56</v>
    <v t="i">57</v>
    <v t="i">58</v>
    <v t="i">59</v>
    <v t="i">60</v>
    <v t="i">64</v>
    <v t="i">65</v>
    <v t="i">66</v>
    <v t="i">67</v>
    <v t="i">70</v>
    <v t="i">71</v>
    <v t="i">72</v>
    <v t="i">73</v>
    <v t="i">74</v>
    <v t="i">77</v>
    <v t="i">78</v>
    <v t="i">79</v>
    <v t="i">80</v>
    <v t="i">81</v>
    <v t="i">84</v>
    <v t="i">85</v>
    <v t="i">86</v>
    <v t="i">87</v>
    <v t="i">88</v>
    <v t="i">91</v>
    <v t="i">92</v>
    <v t="i">93</v>
    <v t="i">94</v>
    <v t="i">95</v>
    <v t="i">98</v>
    <v t="i">99</v>
    <v t="i">100</v>
    <v t="i">101</v>
    <v t="i">102</v>
    <v t="i">105</v>
    <v t="i">106</v>
    <v t="i">107</v>
    <v t="i">108</v>
    <v t="i">109</v>
    <v t="i">112</v>
    <v t="i">113</v>
    <v t="i">114</v>
    <v t="i">115</v>
    <v t="i">116</v>
    <v t="i">119</v>
    <v t="i">120</v>
    <v t="i">121</v>
    <v t="i">127</v>
  </a>
  <a r="1" c="82">
    <v>123.82</v>
    <v>123.26</v>
    <v>123.79</v>
    <v>123.97</v>
    <v>124</v>
    <v>123.49</v>
    <v>123.48</v>
    <v>123.16</v>
    <v>123.66</v>
    <v>123.46</v>
    <v>123.56</v>
    <v>123.21</v>
    <v>123.18</v>
    <v>123.25</v>
    <v>123.14</v>
    <v>122.73</v>
    <v>123.2</v>
    <v>123.3</v>
    <v>123.4</v>
    <v>123.12</v>
    <v>123.08</v>
    <v>123.39</v>
    <v>123.47</v>
    <v>123.66</v>
    <v>123.76</v>
    <v>123.78</v>
    <v>123.81</v>
    <v>124.15</v>
    <v>124.09</v>
    <v>123.91</v>
    <v>123.29</v>
    <v>123.29</v>
    <v>123.77</v>
    <v>123.53</v>
    <v>123.99</v>
    <v>123.71</v>
    <v>123.92</v>
    <v>123.93</v>
    <v>123.81</v>
    <v>123.45</v>
    <v>123.55</v>
    <v>123.05</v>
    <v>123.51</v>
    <v>123.18</v>
    <v>123.83</v>
    <v>123.78</v>
    <v>124.15</v>
    <v>124.42</v>
    <v>124.82</v>
    <v>125.04</v>
    <v>124.56</v>
    <v>124.73</v>
    <v>124.85</v>
    <v>124.84</v>
    <v>124.98</v>
    <v>125.13</v>
    <v>125.03</v>
    <v>125.61</v>
    <v>125.85</v>
    <v>125.1</v>
    <v>125.18</v>
    <v>124.7</v>
    <v>124.6</v>
    <v>125.17</v>
    <v>124.89</v>
    <v>124.35</v>
    <v>124.55</v>
    <v>124.34</v>
    <v>123.99</v>
    <v>124.55</v>
    <v>125.11</v>
    <v>124.63</v>
    <v>123.69</v>
    <v>122.97</v>
    <v>122.92</v>
    <v>123.15</v>
    <v>122.82</v>
    <v>122.04</v>
    <v>122.54</v>
    <v>123.24</v>
    <v>123.72</v>
    <v>123.47</v>
  </a>
  <a r="1" c="85">
    <v>11.118</v>
    <v>11.132</v>
    <v>11.128</v>
    <v>11.156000000000001</v>
    <v>11.202</v>
    <v>11.18</v>
    <v>11.192</v>
    <v>11.172000000000001</v>
    <v>11.122</v>
    <v>11.055999999999999</v>
    <v>11.074</v>
    <v>10.986000000000001</v>
    <v>10.92</v>
    <v>11.071999999999999</v>
    <v>11.125999999999999</v>
    <v>11.144</v>
    <v>11.15</v>
    <v>11.212</v>
    <v>11.238</v>
    <v>11.202</v>
    <v>11.348000000000001</v>
    <v>11.394</v>
    <v>11.42</v>
    <v>11.396000000000001</v>
    <v>11.49</v>
    <v>11.502000000000001</v>
    <v>11.516</v>
    <v>11.55</v>
    <v>11.6</v>
    <v>11.586</v>
    <v>11.497999999999999</v>
    <v>11.382</v>
    <v>11.342000000000001</v>
    <v>11.48</v>
    <v>11.422000000000001</v>
    <v>11.428000000000001</v>
    <v>11.346</v>
    <v>11.458</v>
    <v>11.282</v>
    <v>11.336</v>
    <v>11.464</v>
    <v>11.417999999999999</v>
    <v>11.374000000000001</v>
    <v>11.27</v>
    <v>11.39</v>
    <v>11.44</v>
    <v>11.472</v>
    <v>11.492000000000001</v>
    <v>11.486000000000001</v>
    <v>11.38</v>
    <v>11.366</v>
    <v>11.385999999999999</v>
    <v>11.516</v>
    <v>11.492000000000001</v>
    <v>11.548</v>
    <v>11.456</v>
    <v>11.534000000000001</v>
    <v>11.622</v>
    <v>11.582000000000001</v>
    <v>11.526</v>
    <v>11.59</v>
    <v>11.464</v>
    <v>11.484</v>
    <v>11.416</v>
    <v>11.396000000000001</v>
    <v>11.27</v>
    <v>11.426</v>
    <v>11.398</v>
    <v>11.314</v>
    <v>11.4</v>
    <v>11.348000000000001</v>
    <v>11.388</v>
    <v>11.314</v>
    <v>11.112</v>
    <v>10.997999999999999</v>
    <v>11.055999999999999</v>
    <v>11.036</v>
    <v>11.141999999999999</v>
    <v>11.004</v>
    <v>10.852</v>
    <v>10.926</v>
    <v>10.914</v>
    <v>11.154</v>
    <v>11.135999999999999</v>
    <v>11.074</v>
  </a>
  <a r="1" c="85">
    <v>144.4</v>
    <v>142.97999999999999</v>
    <v>143.54</v>
    <v>143.35</v>
    <v>143.65</v>
    <v>143.1</v>
    <v>143.59</v>
    <v>142.97</v>
    <v>143.69</v>
    <v>144.57</v>
    <v>144.74</v>
    <v>144.88</v>
    <v>145.88999999999999</v>
    <v>147.71</v>
    <v>147.12</v>
    <v>149.58000000000001</v>
    <v>150.19</v>
    <v>146.37</v>
    <v>148.41999999999999</v>
    <v>145.74</v>
    <v>150.38999999999999</v>
    <v>152.16</v>
    <v>151.37</v>
    <v>151.74</v>
    <v>153.51</v>
    <v>156.84</v>
    <v>156.74</v>
    <v>157.09</v>
    <v>157.44999999999999</v>
    <v>157.03</v>
    <v>159.08000000000001</v>
    <v>160.32</v>
    <v>164.05</v>
    <v>164.63</v>
    <v>167.91</v>
    <v>169.34</v>
    <v>168.45</v>
    <v>175.55</v>
    <v>175.2</v>
    <v>165.62</v>
    <v>156.61000000000001</v>
    <v>167.13</v>
    <v>165.41</v>
    <v>163.05000000000001</v>
    <v>165.56</v>
    <v>168.97</v>
    <v>167.13</v>
    <v>169.36</v>
    <v>165.18</v>
    <v>167.54</v>
    <v>166.82</v>
    <v>163.47999999999999</v>
    <v>167.84</v>
    <v>168.48</v>
    <v>170.54</v>
    <v>175.15</v>
    <v>172.88</v>
    <v>174.8</v>
    <v>174.22</v>
    <v>175.35</v>
    <v>179.39</v>
    <v>175.08</v>
    <v>175.51</v>
    <v>173.34</v>
    <v>175.52</v>
    <v>174.41</v>
    <v>177.99</v>
    <v>177.09</v>
    <v>176.41</v>
    <v>174.93</v>
    <v>171.91</v>
    <v>171.99</v>
    <v>167.86</v>
    <v>157.77000000000001</v>
    <v>157.31</v>
    <v>149.74</v>
    <v>150.94</v>
    <v>156.02000000000001</v>
    <v>150.88</v>
    <v>155.41999999999999</v>
    <v>157.30000000000001</v>
    <v>158.79</v>
    <v>163.22999999999999</v>
    <v>160.4</v>
    <v>159.21</v>
  </a>
  <a r="1" c="85">
    <v>348.52</v>
    <v>345</v>
    <v>346.52</v>
    <v>345.86</v>
    <v>346.62</v>
    <v>345.24</v>
    <v>346.6</v>
    <v>345.02</v>
    <v>346.7</v>
    <v>348.86</v>
    <v>349.3</v>
    <v>349.48</v>
    <v>351.98</v>
    <v>356.26</v>
    <v>354.82</v>
    <v>360.86</v>
    <v>362.36</v>
    <v>353.1</v>
    <v>358.18</v>
    <v>351.54</v>
    <v>363.02</v>
    <v>367.12</v>
    <v>365.36</v>
    <v>366.2</v>
    <v>370.54</v>
    <v>378.54</v>
    <v>378.28</v>
    <v>379.12</v>
    <v>380.06</v>
    <v>378.94</v>
    <v>383.84</v>
    <v>386.82</v>
    <v>395.82</v>
    <v>397.22</v>
    <v>405.14</v>
    <v>408.64</v>
    <v>406.48</v>
    <v>423.48</v>
    <v>421.18</v>
    <v>398.98</v>
    <v>378.24</v>
    <v>403.52</v>
    <v>398.94</v>
    <v>393.24</v>
    <v>399.26</v>
    <v>407.7</v>
    <v>403.1</v>
    <v>408.6</v>
    <v>398.12</v>
    <v>404.06</v>
    <v>402.42</v>
    <v>394.34</v>
    <v>404.92</v>
    <v>406.34</v>
    <v>411.6</v>
    <v>422.36</v>
    <v>417.06</v>
    <v>421.82</v>
    <v>420.08</v>
    <v>423.22</v>
    <v>432.78</v>
    <v>422.04</v>
    <v>423.32</v>
    <v>418.24</v>
    <v>423.48</v>
    <v>420.84</v>
    <v>429.52</v>
    <v>427.18</v>
    <v>425.62</v>
    <v>421.88</v>
    <v>414.48</v>
    <v>414.94</v>
    <v>404.96</v>
    <v>380.5</v>
    <v>379.54</v>
    <v>361.2</v>
    <v>364.2</v>
    <v>376.42</v>
    <v>364.18</v>
    <v>374.88</v>
    <v>379.6</v>
    <v>383.36</v>
    <v>393.88</v>
    <v>386.84</v>
    <v>384.22</v>
  </a>
  <a r="1" c="85">
    <v>1037.0181</v>
    <v>1036.5517</v>
    <v>1033.0255999999999</v>
    <v>1034.8195000000001</v>
    <v>1034.8196</v>
    <v>1032.8375000000001</v>
    <v>1032.5379</v>
    <v>1031.9774</v>
    <v>1032.1856</v>
    <v>1028.7147</v>
    <v>1029.6324</v>
    <v>1029.7501999999999</v>
    <v>1029.6428000000001</v>
    <v>1029.5648000000001</v>
    <v>1029.6907000000001</v>
    <v>1030.0961</v>
    <v>1030.0061000000001</v>
    <v>1029.6599000000001</v>
    <v>1029.7929999999999</v>
    <v>1029.2357999999999</v>
    <v>1030.0997</v>
    <v>1031.8333</v>
    <v>1033.0177000000001</v>
    <v>1032.6586</v>
    <v>1039.3853999999999</v>
    <v>1039.8643999999999</v>
    <v>1041.8158000000001</v>
    <v>1041.3341</v>
    <v>1044.4494999999999</v>
    <v>1043.6237000000001</v>
    <v>1041.7277999999999</v>
    <v>1040.2329999999999</v>
    <v>1041.4627</v>
    <v>1041.4961000000001</v>
    <v>1039.3592000000001</v>
    <v>1041.7455</v>
    <v>1050.7699</v>
    <v>1048.9606000000001</v>
    <v>1049.9507000000001</v>
    <v>1042.5272</v>
    <v>1041.5473</v>
    <v>1047.5123000000001</v>
    <v>1047.2072000000001</v>
    <v>1040.5064</v>
    <v>1044.9494999999999</v>
    <v>1052.8033</v>
    <v>1054.1159</v>
    <v>1055.316</v>
    <v>1049.4413</v>
    <v>1047.6411000000001</v>
    <v>1047.9974</v>
    <v>1047.3680999999999</v>
    <v>1049.5281</v>
    <v>1046.7369000000001</v>
    <v>1049.1815999999999</v>
    <v>1049.2230999999999</v>
    <v>1051.9223</v>
    <v>1061.1976</v>
    <v>1061.2393999999999</v>
    <v>1065.8179</v>
    <v>1050.8258000000001</v>
    <v>1049.9508000000001</v>
    <v>1045.3985</v>
    <v>1048.5273</v>
    <v>1049.5797</v>
    <v>1045.1559999999999</v>
    <v>1041.0726999999999</v>
    <v>1033.72</v>
    <v>1032.9262000000001</v>
    <v>1035.6197999999999</v>
    <v>1033.6519000000001</v>
    <v>1034.0604000000001</v>
    <v>1032.5047</v>
    <v>1031.1747</v>
    <v>1033.1713</v>
    <v>1032.5442</v>
    <v>1031.5858000000001</v>
    <v>1030.9574</v>
    <v>1020.8584</v>
    <v>1020.2122000000001</v>
    <v>1018.0957</v>
    <v>1015.3819999999999</v>
    <v>1012.4671</v>
    <v>1012.6337</v>
    <v>1012.3739</v>
  </a>
  <a r="1" c="85">
    <v>118.52</v>
    <v>118.28</v>
    <v>118.28</v>
    <v>119.12</v>
    <v>115.92</v>
    <v>118.64</v>
    <v>119.84</v>
    <v>121.42</v>
    <v>121.98</v>
    <v>122.64</v>
    <v>122.76</v>
    <v>123.94</v>
    <v>123.6</v>
    <v>123.56</v>
    <v>124.5</v>
    <v>125</v>
    <v>123.4</v>
    <v>122.88</v>
    <v>122.42</v>
    <v>125.22</v>
    <v>125.42</v>
    <v>125.86</v>
    <v>126.52</v>
    <v>126.72</v>
    <v>127.14</v>
    <v>125.68</v>
    <v>124.46</v>
    <v>125.2</v>
    <v>126.3</v>
    <v>126.76</v>
    <v>123.82</v>
    <v>121.08</v>
    <v>119.22</v>
    <v>117.48</v>
    <v>117.6</v>
    <v>114.04</v>
    <v>113.14</v>
    <v>112.34</v>
    <v>111.84</v>
    <v>106.76</v>
    <v>115.04</v>
    <v>116.72</v>
    <v>116.76</v>
    <v>116.32</v>
    <v>114.92</v>
    <v>117.26</v>
    <v>117.34</v>
    <v>117.28</v>
    <v>117.9</v>
    <v>117.78</v>
    <v>118.3</v>
    <v>118.86</v>
    <v>118.72</v>
    <v>117.82</v>
    <v>117.38</v>
    <v>117.22</v>
    <v>118.48</v>
    <v>118.5</v>
    <v>118.22</v>
    <v>117.66</v>
    <v>112.78</v>
    <v>105.18</v>
    <v>107.22</v>
    <v>103.98</v>
    <v>95.87</v>
    <v>87.95</v>
    <v>99.93</v>
    <v>96.43</v>
    <v>91.35</v>
    <v>94</v>
    <v>90.54</v>
    <v>91.6</v>
    <v>87.8</v>
    <v>90.6</v>
    <v>90.13</v>
    <v>92.56</v>
    <v>92.85</v>
    <v>94.83</v>
    <v>92.27</v>
    <v>89.79</v>
    <v>87.91</v>
    <v>86.23</v>
    <v>83.7</v>
    <v>76.569999999999993</v>
    <v>75.760000000000005</v>
  </a>
  <a r="1" c="85">
    <v>111.01</v>
    <v>111.08499999999999</v>
    <v>111.035</v>
    <v>111.34</v>
    <v>111.72</v>
    <v>111.52500000000001</v>
    <v>111.655</v>
    <v>111.39</v>
    <v>110.98</v>
    <v>110.31</v>
    <v>110.45</v>
    <v>109.735</v>
    <v>109.265</v>
    <v>110.47499999999999</v>
    <v>110.955</v>
    <v>111.16500000000001</v>
    <v>111.41500000000001</v>
    <v>111.57</v>
    <v>111.77500000000001</v>
    <v>111.32</v>
    <v>112.745</v>
    <v>113.11499999999999</v>
    <v>113.47499999999999</v>
    <v>113.255</v>
    <v>114.19</v>
    <v>114.17</v>
    <v>114.345</v>
    <v>113.59</v>
    <v>114.95</v>
    <v>114.795</v>
    <v>113.125</v>
    <v>112.185</v>
    <v>112.245</v>
    <v>113.005</v>
    <v>112.815</v>
    <v>112.38500000000001</v>
    <v>112.235</v>
    <v>112.325</v>
    <v>111.42</v>
    <v>112.28</v>
    <v>113.44</v>
    <v>112.965</v>
    <v>112.7</v>
    <v>111.565</v>
    <v>112.675</v>
    <v>113.22</v>
    <v>113.465</v>
    <v>113.405</v>
    <v>112.39</v>
    <v>112.255</v>
    <v>112</v>
    <v>112.33499999999999</v>
    <v>113.545</v>
    <v>113.35</v>
    <v>113.76</v>
    <v>112.925</v>
    <v>113.425</v>
    <v>114.27</v>
    <v>114.035</v>
    <v>113.535</v>
    <v>113.955</v>
    <v>112.61499999999999</v>
    <v>113.85</v>
    <v>113.30500000000001</v>
    <v>112.015</v>
    <v>111.515</v>
    <v>113.035</v>
    <v>112.63500000000001</v>
    <v>112.03</v>
    <v>111.87</v>
    <v>112.185</v>
    <v>112.44</v>
    <v>111.72</v>
    <v>109.855</v>
    <v>108.72499999999999</v>
    <v>109.155</v>
    <v>109.12</v>
    <v>110.185</v>
    <v>109.02</v>
    <v>107.47499999999999</v>
    <v>108.205</v>
    <v>108.05500000000001</v>
    <v>110.355</v>
    <v>110.38</v>
    <v>109.72499999999999</v>
  </a>
  <a r="1" c="85">
    <v>574.96529999999996</v>
    <v>573.52710000000002</v>
    <v>572.65549999999996</v>
    <v>580.44190000000003</v>
    <v>582.16020000000003</v>
    <v>580.56110000000001</v>
    <v>576.44380000000001</v>
    <v>576.94820000000004</v>
    <v>580.55460000000005</v>
    <v>579.34960000000001</v>
    <v>580.38430000000005</v>
    <v>577.3143</v>
    <v>573.38549999999998</v>
    <v>579.54880000000003</v>
    <v>581.28189999999995</v>
    <v>581.98800000000006</v>
    <v>582.27099999999996</v>
    <v>586.24469999999997</v>
    <v>589.56060000000002</v>
    <v>589.50469999999996</v>
    <v>587.39520000000005</v>
    <v>589.79899999999998</v>
    <v>603.05160000000001</v>
    <v>597.03189999999995</v>
    <v>603.05960000000005</v>
    <v>602.85329999999999</v>
    <v>602.26900000000001</v>
    <v>602.36829999999998</v>
    <v>613.10469999999998</v>
    <v>613.14700000000005</v>
    <v>599.93280000000004</v>
    <v>597.73789999999997</v>
    <v>599.63930000000005</v>
    <v>604.97090000000003</v>
    <v>605.96900000000005</v>
    <v>607.89049999999997</v>
    <v>609.94060000000002</v>
    <v>607.1816</v>
    <v>606.61770000000001</v>
    <v>605.33799999999997</v>
    <v>613.55840000000001</v>
    <v>616.90340000000003</v>
    <v>624.72640000000001</v>
    <v>620.029</v>
    <v>626.08759999999995</v>
    <v>628.02629999999999</v>
    <v>629.75900000000001</v>
    <v>629.69010000000003</v>
    <v>625.36329999999998</v>
    <v>624.63289999999995</v>
    <v>624.05870000000004</v>
    <v>625.79510000000005</v>
    <v>630.94119999999998</v>
    <v>629.66719999999998</v>
    <v>635.33079999999995</v>
    <v>632.32050000000004</v>
    <v>637.38329999999996</v>
    <v>638.18150000000003</v>
    <v>640.75139999999999</v>
    <v>644.27239999999995</v>
    <v>631.89110000000005</v>
    <v>613.95209999999997</v>
    <v>621.48239999999998</v>
    <v>614.84299999999996</v>
    <v>607.00670000000002</v>
    <v>595.84659999999997</v>
    <v>613.30250000000001</v>
    <v>608.91890000000001</v>
    <v>608.63649999999996</v>
    <v>599.68740000000003</v>
    <v>601.49590000000001</v>
    <v>600.09249999999997</v>
    <v>598.3596</v>
    <v>577.67570000000001</v>
    <v>569.50149999999996</v>
    <v>574.42240000000004</v>
    <v>577.02160000000003</v>
    <v>587.56200000000001</v>
    <v>581.46029999999996</v>
    <v>576.96680000000003</v>
    <v>582.53250000000003</v>
    <v>590.50739999999996</v>
    <v>605.5951</v>
    <v>597.80719999999997</v>
    <v>598.12260000000003</v>
  </a>
  <a r="1" c="84">
    <v>851.18</v>
    <v>849.65</v>
    <v>848.4</v>
    <v>860.18</v>
    <v>863.22</v>
    <v>857.59</v>
    <v>851.13</v>
    <v>854.37</v>
    <v>857.03</v>
    <v>858.53</v>
    <v>861.47</v>
    <v>857.61</v>
    <v>850.62</v>
    <v>859.55</v>
    <v>862.05</v>
    <v>864.74</v>
    <v>865.64</v>
    <v>871.68</v>
    <v>877.14</v>
    <v>866.06</v>
    <v>868.7</v>
    <v>898.11</v>
    <v>885.15</v>
    <v>896.95</v>
    <v>892.91</v>
    <v>891.8</v>
    <v>892.21</v>
    <v>907.69</v>
    <v>909.65</v>
    <v>878.96</v>
    <v>875.48</v>
    <v>877.07</v>
    <v>884.36</v>
    <v>882.9</v>
    <v>880.66</v>
    <v>885.23</v>
    <v>881.74</v>
    <v>882.55</v>
    <v>882.17</v>
    <v>894.24</v>
    <v>900.96</v>
    <v>912.07</v>
    <v>910.77</v>
    <v>922.62</v>
    <v>926.85</v>
    <v>929.58</v>
    <v>928.42</v>
    <v>920.35</v>
    <v>918.19</v>
    <v>915.14</v>
    <v>918.76</v>
    <v>927.34</v>
    <v>928.76</v>
    <v>936.22</v>
    <v>931.76</v>
    <v>941.34</v>
    <v>942.94</v>
    <v>951.86</v>
    <v>959.72</v>
    <v>935.8</v>
    <v>913.32</v>
    <v>925.61</v>
    <v>916.03</v>
    <v>904.16</v>
    <v>885.36</v>
    <v>910.14</v>
    <v>899.19</v>
    <v>901.47</v>
    <v>889.22</v>
    <v>890.48</v>
    <v>887.53</v>
    <v>883.2</v>
    <v>855.82</v>
    <v>843.14</v>
    <v>846.32</v>
    <v>850.88</v>
    <v>868.65</v>
    <v>862.01</v>
    <v>857.13</v>
    <v>864.94</v>
    <v>877.37</v>
    <v>896.29</v>
    <v>879.4</v>
    <v>881.21</v>
  </a>
  <a r="1" c="85">
    <v>117.13</v>
    <v>115.92</v>
    <v>116.46</v>
    <v>116.28</v>
    <v>116.48</v>
    <v>116.03</v>
    <v>116.42</v>
    <v>115.96</v>
    <v>116.56</v>
    <v>117.29</v>
    <v>117.38</v>
    <v>117.5</v>
    <v>118.31</v>
    <v>119.77</v>
    <v>119.29</v>
    <v>121.29</v>
    <v>121.75</v>
    <v>118.64</v>
    <v>120.37</v>
    <v>118.22</v>
    <v>121.98</v>
    <v>123.44</v>
    <v>122.8</v>
    <v>123.06</v>
    <v>124.54</v>
    <v>127.19</v>
    <v>127.14</v>
    <v>127.45</v>
    <v>127.77</v>
    <v>127.36</v>
    <v>129.03</v>
    <v>130.04</v>
    <v>133.06</v>
    <v>133.56</v>
    <v>136.24</v>
    <v>137.36000000000001</v>
    <v>136.63999999999999</v>
    <v>142.36000000000001</v>
    <v>141.69</v>
    <v>134.41</v>
    <v>127.06</v>
    <v>135.65</v>
    <v>134.11000000000001</v>
    <v>132.24</v>
    <v>134.27000000000001</v>
    <v>137.08000000000001</v>
    <v>135.51</v>
    <v>137.31</v>
    <v>133.71</v>
    <v>135.83000000000001</v>
    <v>135.32</v>
    <v>132.54</v>
    <v>136.09</v>
    <v>136.63999999999999</v>
    <v>138.38</v>
    <v>141.99</v>
    <v>140.25</v>
    <v>141.79</v>
    <v>141.30000000000001</v>
    <v>142.32</v>
    <v>145.49</v>
    <v>141.86000000000001</v>
    <v>142.34</v>
    <v>140.59</v>
    <v>142.34</v>
    <v>141.51</v>
    <v>144.38</v>
    <v>143.61000000000001</v>
    <v>143.06</v>
    <v>141.83000000000001</v>
    <v>139.35</v>
    <v>139.47999999999999</v>
    <v>136.11000000000001</v>
    <v>127.91</v>
    <v>127.55</v>
    <v>121.43</v>
    <v>122.43</v>
    <v>126.56</v>
    <v>122.44</v>
    <v>126.05</v>
    <v>127.64</v>
    <v>128.80000000000001</v>
    <v>132.46</v>
    <v>130.1</v>
    <v>129.16999999999999</v>
  </a>
  <a r="1" c="87">
    <v>4.6604999999999999</v>
    <v>4.657</v>
    <v>4.6589999999999998</v>
    <v>4.6515000000000004</v>
    <v>4.6219999999999999</v>
    <v>4.5999999999999996</v>
    <v>4.6210000000000004</v>
    <v>4.6304999999999996</v>
    <v>4.6449999999999996</v>
    <v>4.5720000000000001</v>
    <v>4.6014999999999997</v>
    <v>4.5999999999999996</v>
    <v>4.6085000000000003</v>
    <v>4.6364999999999998</v>
    <v>4.6150000000000002</v>
    <v>4.6029999999999998</v>
    <v>4.609</v>
    <v>4.6154999999999999</v>
    <v>4.6369999999999996</v>
    <v>4.6384999999999996</v>
    <v>4.6459999999999999</v>
    <v>4.5945</v>
    <v>4.5999999999999996</v>
    <v>4.5834999999999999</v>
    <v>4.6280000000000001</v>
    <v>4.6064999999999996</v>
    <v>4.62</v>
    <v>4.6154999999999999</v>
    <v>4.6180000000000003</v>
    <v>4.657</v>
    <v>4.6595000000000004</v>
    <v>4.6395</v>
    <v>4.593</v>
    <v>4.5754999999999999</v>
    <v>4.5845000000000002</v>
    <v>4.5999999999999996</v>
    <v>4.6260000000000003</v>
    <v>4.6470000000000002</v>
    <v>4.6384999999999996</v>
    <v>4.6085000000000003</v>
    <v>4.6064999999999996</v>
    <v>4.6040000000000001</v>
    <v>4.5890000000000004</v>
    <v>4.5724999999999998</v>
    <v>4.5824999999999996</v>
    <v>4.6154999999999999</v>
    <v>4.617</v>
    <v>4.6174999999999997</v>
    <v>4.6795</v>
    <v>4.6680000000000001</v>
    <v>4.6929999999999996</v>
    <v>4.7435</v>
    <v>4.7565</v>
    <v>4.7554999999999996</v>
    <v>4.7504999999999997</v>
    <v>4.7365000000000004</v>
    <v>4.7270000000000003</v>
    <v>4.7565</v>
    <v>4.7610000000000001</v>
    <v>4.7619999999999996</v>
    <v>4.7705000000000002</v>
    <v>4.8034999999999997</v>
    <v>4.7539999999999996</v>
    <v>4.7460000000000004</v>
    <v>4.7450000000000001</v>
    <v>4.7035</v>
    <v>4.6974999999999998</v>
    <v>4.7190000000000003</v>
    <v>4.7210000000000001</v>
    <v>4.6405000000000003</v>
    <v>4.6230000000000002</v>
    <v>4.5960000000000001</v>
    <v>4.62</v>
    <v>4.649</v>
    <v>4.6364999999999998</v>
    <v>4.6479999999999997</v>
    <v>4.5715000000000003</v>
    <v>4.5730000000000004</v>
    <v>4.5759999999999996</v>
    <v>4.6070000000000002</v>
    <v>4.5759999999999996</v>
    <v>4.5674999999999999</v>
    <v>4.6109999999999998</v>
    <v>4.6029999999999998</v>
    <v>4.6234999999999999</v>
    <v>4.6219999999999999</v>
    <v>4.5945</v>
  </a>
  <a r="1" c="84">
    <v>157.63</v>
    <v>157.59</v>
    <v>157.6</v>
    <v>157.68</v>
    <v>157.54</v>
    <v>157.37</v>
    <v>157.4</v>
    <v>157.22999999999999</v>
    <v>157.44999999999999</v>
    <v>157.44999999999999</v>
    <v>157.66</v>
    <v>157.71</v>
    <v>157.79</v>
    <v>157.9</v>
    <v>157.83000000000001</v>
    <v>157.85</v>
    <v>158.02000000000001</v>
    <v>158.25</v>
    <v>158.29</v>
    <v>158.16</v>
    <v>158</v>
    <v>158.30000000000001</v>
    <v>158.31</v>
    <v>158.28</v>
    <v>158.41999999999999</v>
    <v>158.51</v>
    <v>158.61000000000001</v>
    <v>158.66999999999999</v>
    <v>158.55000000000001</v>
    <v>158.69999999999999</v>
    <v>158.59</v>
    <v>158.57</v>
    <v>158.51</v>
    <v>158.44999999999999</v>
    <v>158.58000000000001</v>
    <v>158.63</v>
    <v>158.83000000000001</v>
    <v>159.02000000000001</v>
    <v>159.13</v>
    <v>159.11000000000001</v>
    <v>158.99</v>
    <v>159.36000000000001</v>
    <v>159.58000000000001</v>
    <v>159.63</v>
    <v>159.74</v>
    <v>159.88</v>
    <v>159.81</v>
    <v>160.05000000000001</v>
    <v>160.29</v>
    <v>160.38</v>
    <v>160.44</v>
    <v>160.47</v>
    <v>160.27000000000001</v>
    <v>160.16</v>
    <v>160.22</v>
    <v>160.38</v>
    <v>160.41999999999999</v>
    <v>160.47999999999999</v>
    <v>160.69999999999999</v>
    <v>160.38</v>
    <v>159.57</v>
    <v>159.84</v>
    <v>159.58000000000001</v>
    <v>159.16</v>
    <v>158.63</v>
    <v>159.19</v>
    <v>158.72999999999999</v>
    <v>158.66</v>
    <v>158.63</v>
    <v>158.72</v>
    <v>158.88</v>
    <v>158.66</v>
    <v>158.16999999999999</v>
    <v>157.38</v>
    <v>157.66999999999999</v>
    <v>157.32</v>
    <v>157.49</v>
    <v>157.06</v>
    <v>156.94999999999999</v>
    <v>157.37</v>
    <v>157.66</v>
    <v>157.97</v>
    <v>157.58000000000001</v>
    <v>157.54</v>
  </a>
  <a r="1" c="87">
    <v>23.12</v>
    <v>23.02</v>
    <v>23.13</v>
    <v>23.19</v>
    <v>23.33</v>
    <v>23.04</v>
    <v>22.99</v>
    <v>23.13</v>
    <v>23.11</v>
    <v>22.92</v>
    <v>22.81</v>
    <v>22.58</v>
    <v>22.85</v>
    <v>22.69</v>
    <v>22.85</v>
    <v>22.39</v>
    <v>22.64</v>
    <v>22.63</v>
    <v>22.7</v>
    <v>22.49</v>
    <v>22.64</v>
    <v>22.36</v>
    <v>22.39</v>
    <v>22.81</v>
    <v>22.8</v>
    <v>22.59</v>
    <v>22.88</v>
    <v>22.9</v>
    <v>23.19</v>
    <v>23.37</v>
    <v>23.39</v>
    <v>23.2</v>
    <v>23.16</v>
    <v>23.48</v>
    <v>23.75</v>
    <v>23.74</v>
    <v>24.18</v>
    <v>24.29</v>
    <v>24.62</v>
    <v>24.94</v>
    <v>25.3</v>
    <v>24.43</v>
    <v>23.54</v>
    <v>24.15</v>
    <v>24.19</v>
    <v>23.76</v>
    <v>24.01</v>
    <v>24.25</v>
    <v>24.14</v>
    <v>24.37</v>
    <v>23.8</v>
    <v>23.88</v>
    <v>23.59</v>
    <v>24.21</v>
    <v>24.43</v>
    <v>24.6</v>
    <v>24.75</v>
    <v>24.72</v>
    <v>24.75</v>
    <v>24.76</v>
    <v>25.1</v>
    <v>25.81</v>
    <v>25.91</v>
    <v>26.14</v>
    <v>26.52</v>
    <v>27.51</v>
    <v>27.14</v>
    <v>27.6</v>
    <v>28.13</v>
    <v>28.86</v>
    <v>28.71</v>
    <v>28.31</v>
    <v>28.76</v>
    <v>29.27</v>
    <v>28.84</v>
    <v>28.94</v>
    <v>27.75</v>
    <v>28.24</v>
    <v>28.17</v>
    <v>28.44</v>
    <v>29.1</v>
    <v>29.26</v>
    <v>28.95</v>
    <v>28.68</v>
    <v>29.33</v>
    <v>29.48</v>
    <v>29.37</v>
  </a>
  <a r="1" c="85">
    <v>251.99</v>
    <v>251.83</v>
    <v>251.87</v>
    <v>250.76</v>
    <v>250.03</v>
    <v>248.8</v>
    <v>249.57</v>
    <v>249.63</v>
    <v>250.01</v>
    <v>248.51</v>
    <v>249.46</v>
    <v>249.98</v>
    <v>249.07</v>
    <v>249.14</v>
    <v>246.22</v>
    <v>246.4</v>
    <v>249.03</v>
    <v>250.65</v>
    <v>249.4</v>
    <v>246.37</v>
    <v>248.06</v>
    <v>249.21</v>
    <v>251.07</v>
    <v>250.07</v>
    <v>250.6</v>
    <v>251.94</v>
    <v>251.13</v>
    <v>252.26</v>
    <v>253.8</v>
    <v>252.9</v>
    <v>252</v>
    <v>250.64</v>
    <v>249.66</v>
    <v>250.9</v>
    <v>251.28</v>
    <v>252.57</v>
    <v>252.93</v>
    <v>253.02</v>
    <v>252.55</v>
    <v>252.4</v>
    <v>251.49</v>
    <v>250.19</v>
    <v>250.86</v>
    <v>251.49</v>
    <v>251.05</v>
    <v>250.38</v>
    <v>252.66</v>
    <v>253.91</v>
    <v>254.65</v>
    <v>255.27</v>
    <v>255.29</v>
    <v>256.79000000000002</v>
    <v>257.29000000000002</v>
    <v>257.02</v>
    <v>258.18</v>
    <v>258.69</v>
    <v>259.41000000000003</v>
    <v>259.68</v>
    <v>260.54000000000002</v>
    <v>262.01</v>
    <v>259.45</v>
    <v>256.41000000000003</v>
    <v>257.52999999999997</v>
    <v>254.77</v>
    <v>254.4</v>
    <v>254.39</v>
    <v>255.47</v>
    <v>252.65</v>
    <v>250.55</v>
    <v>248.9</v>
    <v>250.42</v>
    <v>252.97</v>
    <v>252.34</v>
    <v>252.57</v>
    <v>248.48</v>
    <v>250.4</v>
    <v>250.45</v>
    <v>254.05</v>
    <v>249.31</v>
    <v>246.45</v>
    <v>249.36</v>
    <v>252.05</v>
    <v>252.62</v>
    <v>252.29</v>
    <v>248.62</v>
  </a>
  <a r="1" c="84">
    <v>166.8528</v>
    <v>166.35890000000001</v>
    <v>165.8552</v>
    <v>168.1266</v>
    <v>168.6576</v>
    <v>168.12119999999999</v>
    <v>167.06809999999999</v>
    <v>167.1397</v>
    <v>168.06010000000001</v>
    <v>167.91909999999999</v>
    <v>168.23390000000001</v>
    <v>167.17689999999999</v>
    <v>166.17150000000001</v>
    <v>167.9607</v>
    <v>168.44640000000001</v>
    <v>168.869</v>
    <v>169.12469999999999</v>
    <v>170.273</v>
    <v>171.16380000000001</v>
    <v>170.5462</v>
    <v>171.3074</v>
    <v>175.1661</v>
    <v>173.54239999999999</v>
    <v>175.5806</v>
    <v>175.59569999999999</v>
    <v>175.4768</v>
    <v>175.23570000000001</v>
    <v>178.1651</v>
    <v>178.1302</v>
    <v>174.38399999999999</v>
    <v>173.8109</v>
    <v>174.1892</v>
    <v>175.50470000000001</v>
    <v>175.85650000000001</v>
    <v>175.9913</v>
    <v>176.61779999999999</v>
    <v>175.98910000000001</v>
    <v>175.48</v>
    <v>175.00630000000001</v>
    <v>176.9691</v>
    <v>177.33330000000001</v>
    <v>179.08090000000001</v>
    <v>177.3254</v>
    <v>179.1086</v>
    <v>179.97049999999999</v>
    <v>180.2646</v>
    <v>179.75649999999999</v>
    <v>177.99019999999999</v>
    <v>177.8237</v>
    <v>177.49789999999999</v>
    <v>177.96100000000001</v>
    <v>179.49100000000001</v>
    <v>179.39519999999999</v>
    <v>180.7647</v>
    <v>179.43870000000001</v>
    <v>180.78440000000001</v>
    <v>181.06450000000001</v>
    <v>182.0378</v>
    <v>182.88579999999999</v>
    <v>179.40389999999999</v>
    <v>174.61259999999999</v>
    <v>176.90170000000001</v>
    <v>175.06379999999999</v>
    <v>173.26769999999999</v>
    <v>170.37289999999999</v>
    <v>175.11170000000001</v>
    <v>173.6825</v>
    <v>173.79750000000001</v>
    <v>171.52459999999999</v>
    <v>172.0438</v>
    <v>171.88740000000001</v>
    <v>171.47829999999999</v>
    <v>165.79589999999999</v>
    <v>163.2208</v>
    <v>164.4366</v>
    <v>165.1559</v>
    <v>168.18469999999999</v>
    <v>166.49700000000001</v>
    <v>164.8604</v>
    <v>166.58019999999999</v>
    <v>169.03039999999999</v>
    <v>173.60730000000001</v>
    <v>171.20660000000001</v>
    <v>171.10730000000001</v>
  </a>
  <a r="1" c="85">
    <v>226.19499999999999</v>
    <v>227.69479999999999</v>
    <v>225.7997</v>
    <v>227.1121</v>
    <v>228.35730000000001</v>
    <v>228.6482</v>
    <v>225.9631</v>
    <v>225.52809999999999</v>
    <v>223.10249999999999</v>
    <v>226.1534</v>
    <v>223.5325</v>
    <v>220.29859999999999</v>
    <v>221.25919999999999</v>
    <v>221.26650000000001</v>
    <v>222.94630000000001</v>
    <v>223.7372</v>
    <v>223.1267</v>
    <v>225.54140000000001</v>
    <v>225.85159999999999</v>
    <v>226.5598</v>
    <v>230.04849999999999</v>
    <v>233.39879999999999</v>
    <v>234.63659999999999</v>
    <v>234.04409999999999</v>
    <v>233.61199999999999</v>
    <v>234.61869999999999</v>
    <v>236.13849999999999</v>
    <v>236.8673</v>
    <v>238.30609999999999</v>
    <v>239.49359999999999</v>
    <v>239.14580000000001</v>
    <v>235.83279999999999</v>
    <v>235.43680000000001</v>
    <v>235.9598</v>
    <v>236.6634</v>
    <v>235.71719999999999</v>
    <v>236.822</v>
    <v>241.23580000000001</v>
    <v>240.80090000000001</v>
    <v>236.51650000000001</v>
    <v>234.24889999999999</v>
    <v>238.98140000000001</v>
    <v>240.9727</v>
    <v>237.94380000000001</v>
    <v>237.7311</v>
    <v>240.26089999999999</v>
    <v>240.63149999999999</v>
    <v>243.98769999999999</v>
    <v>244.1054</v>
    <v>243.59270000000001</v>
    <v>243.89959999999999</v>
    <v>245.50880000000001</v>
    <v>245.4674</v>
    <v>248.04220000000001</v>
    <v>248.04050000000001</v>
    <v>251.01060000000001</v>
    <v>252.5899</v>
    <v>255.1069</v>
    <v>256.67689999999999</v>
    <v>254.346</v>
    <v>253.93979999999999</v>
    <v>247.57810000000001</v>
    <v>235.5505</v>
    <v>242.14070000000001</v>
    <v>240.7792</v>
    <v>232.9718</v>
    <v>239.4255</v>
    <v>243.73089999999999</v>
    <v>242.4066</v>
    <v>241.2004</v>
    <v>241.37289999999999</v>
    <v>242.4769</v>
    <v>247.91759999999999</v>
    <v>241.6139</v>
    <v>239.678</v>
    <v>232.22200000000001</v>
    <v>235.7336</v>
    <v>241.0034</v>
    <v>238.48099999999999</v>
    <v>237.83519999999999</v>
    <v>235.76130000000001</v>
    <v>232.87690000000001</v>
    <v>238.84540000000001</v>
    <v>236.31180000000001</v>
    <v>242.7483</v>
  </a>
  <a r="1" c="4">
    <v t="i">30</v>
    <v t="i">60</v>
    <v t="i">88</v>
    <v t="i">120</v>
  </a>
  <a r="1" c="4">
    <v>156.5489</v>
    <v>171.55930000000001</v>
    <v>178.1234</v>
    <v>170.1524</v>
  </a>
  <a r="1" c="87">
    <v>13.76</v>
    <v>13.7</v>
    <v>13.76</v>
    <v>13.8</v>
    <v>13.89</v>
    <v>13.72</v>
    <v>13.68</v>
    <v>13.78</v>
    <v>13.77</v>
    <v>13.63</v>
    <v>13.57</v>
    <v>13.44</v>
    <v>13.6</v>
    <v>13.52</v>
    <v>13.62</v>
    <v>13.27</v>
    <v>13.4</v>
    <v>13.42</v>
    <v>13.45</v>
    <v>13.34</v>
    <v>13.42</v>
    <v>13.25</v>
    <v>13.28</v>
    <v>13.53</v>
    <v>13.54</v>
    <v>13.41</v>
    <v>13.56</v>
    <v>13.56</v>
    <v>13.76</v>
    <v>13.86</v>
    <v>13.88</v>
    <v>13.77</v>
    <v>13.73</v>
    <v>13.93</v>
    <v>14.08</v>
    <v>14.09</v>
    <v>14.34</v>
    <v>14.42</v>
    <v>14.62</v>
    <v>14.82</v>
    <v>15.02</v>
    <v>14.52</v>
    <v>13.97</v>
    <v>14.33</v>
    <v>14.36</v>
    <v>14.12</v>
    <v>14.26</v>
    <v>14.4</v>
    <v>14.34</v>
    <v>14.49</v>
    <v>14.16</v>
    <v>14.17</v>
    <v>14.03</v>
    <v>14.41</v>
    <v>14.53</v>
    <v>14.64</v>
    <v>14.71</v>
    <v>14.7</v>
    <v>14.71</v>
    <v>14.72</v>
    <v>14.92</v>
    <v>15.36</v>
    <v>15.42</v>
    <v>15.56</v>
    <v>15.8</v>
    <v>16.38</v>
    <v>16.190000000000001</v>
    <v>16.440000000000001</v>
    <v>16.760000000000002</v>
    <v>17.21</v>
    <v>17.13</v>
    <v>16.899999999999999</v>
    <v>17.170000000000002</v>
    <v>17.46</v>
    <v>17.22</v>
    <v>17.329999999999998</v>
    <v>16.59</v>
    <v>16.88</v>
    <v>16.829999999999998</v>
    <v>17.02</v>
    <v>17.399999999999999</v>
    <v>17.5</v>
    <v>17.32</v>
    <v>17.100000000000001</v>
    <v>17.52</v>
    <v>17.55</v>
    <v>17.52</v>
  </a>
  <a r="1" c="85">
    <v>107.9067</v>
    <v>107.9834</v>
    <v>108.0831</v>
    <v>107.95740000000001</v>
    <v>107.8492</v>
    <v>107.6236</v>
    <v>107.61</v>
    <v>107.6455</v>
    <v>107.73220000000001</v>
    <v>107.6159</v>
    <v>107.6866</v>
    <v>107.7718</v>
    <v>107.7439</v>
    <v>107.8312</v>
    <v>107.7261</v>
    <v>107.66160000000001</v>
    <v>107.73009999999999</v>
    <v>107.93389999999999</v>
    <v>107.8926</v>
    <v>107.85129999999999</v>
    <v>107.76009999999999</v>
    <v>107.8892</v>
    <v>108.0762</v>
    <v>107.9224</v>
    <v>107.9415</v>
    <v>107.9666</v>
    <v>108.0243</v>
    <v>108.05759999999999</v>
    <v>108.0565</v>
    <v>107.91079999999999</v>
    <v>107.94029999999999</v>
    <v>107.83540000000001</v>
    <v>107.92919999999999</v>
    <v>107.97020000000001</v>
    <v>107.92700000000001</v>
    <v>108.0616</v>
    <v>108.1002</v>
    <v>108.128</v>
    <v>108.2089</v>
    <v>108.2071</v>
    <v>108.1434</v>
    <v>108.1245</v>
    <v>108.1733</v>
    <v>108.3065</v>
    <v>108.2912</v>
    <v>108.3964</v>
    <v>108.515</v>
    <v>108.43210000000001</v>
    <v>108.58459999999999</v>
    <v>108.70820000000001</v>
    <v>108.7363</v>
    <v>108.7008</v>
    <v>108.6743</v>
    <v>108.667</v>
    <v>108.6784</v>
    <v>108.8511</v>
    <v>108.7851</v>
    <v>108.75660000000001</v>
    <v>108.7938</v>
    <v>108.89149999999999</v>
    <v>108.5271</v>
    <v>108.3201</v>
    <v>108.51139999999999</v>
    <v>108.089</v>
    <v>107.9508</v>
    <v>107.93129999999999</v>
    <v>108.0673</v>
    <v>107.5812</v>
    <v>107.2295</v>
    <v>107.0963</v>
    <v>107.3284</v>
    <v>107.5257</v>
    <v>107.2795</v>
    <v>107.0519</v>
    <v>106.608</v>
    <v>106.8228</v>
    <v>106.678</v>
    <v>106.96720000000001</v>
    <v>106.44840000000001</v>
    <v>106.28789999999999</v>
    <v>106.5925</v>
    <v>106.8296</v>
    <v>107.02030000000001</v>
    <v>107.0487</v>
    <v>106.83880000000001</v>
  </a>
  <a r="1" c="85">
    <v>137.74</v>
    <v>137.41999999999999</v>
    <v>136.96</v>
    <v>137.88</v>
    <v>135.52000000000001</v>
    <v>137.52000000000001</v>
    <v>138.28</v>
    <v>139.24</v>
    <v>138.84</v>
    <v>139.38</v>
    <v>139.62</v>
    <v>140.16</v>
    <v>140.12</v>
    <v>140.19999999999999</v>
    <v>140.74</v>
    <v>140.84</v>
    <v>139.54</v>
    <v>139.9</v>
    <v>139.84</v>
    <v>141.47999999999999</v>
    <v>141.69999999999999</v>
    <v>141.69999999999999</v>
    <v>142.28</v>
    <v>142.62</v>
    <v>143</v>
    <v>141.91999999999999</v>
    <v>141.72</v>
    <v>142.12</v>
    <v>142.88</v>
    <v>143.26</v>
    <v>141.28</v>
    <v>139.12</v>
    <v>138.54</v>
    <v>136.72</v>
    <v>136.54</v>
    <v>133.72</v>
    <v>132.52000000000001</v>
    <v>132.66</v>
    <v>132.28</v>
    <v>129.4</v>
    <v>134.46</v>
    <v>134.54</v>
    <v>134.69999999999999</v>
    <v>134.58000000000001</v>
    <v>133.19999999999999</v>
    <v>134.56</v>
    <v>134.96</v>
    <v>135.06</v>
    <v>135.32</v>
    <v>135.18</v>
    <v>135.56</v>
    <v>136.02000000000001</v>
    <v>135.78</v>
    <v>135.4</v>
    <v>135.34</v>
    <v>135.08000000000001</v>
    <v>135.96</v>
    <v>136.04</v>
    <v>135.84</v>
    <v>134.97999999999999</v>
    <v>132.9</v>
    <v>129.76</v>
    <v>130.97999999999999</v>
    <v>128.19999999999999</v>
    <v>122.62</v>
    <v>117</v>
    <v>125.42</v>
    <v>123.24</v>
    <v>121</v>
    <v>121.44</v>
    <v>120.92</v>
    <v>121.26</v>
    <v>121.8</v>
    <v>117.34</v>
    <v>117.96</v>
    <v>121.5</v>
    <v>121.62</v>
    <v>124.66</v>
    <v>120.7</v>
    <v>117.98</v>
    <v>115.76</v>
    <v>113</v>
    <v>111.06</v>
    <v>105.76</v>
    <v>105.98</v>
  </a>
  <a r="1" c="83">
    <v t="i">0</v>
    <v t="i">1</v>
    <v t="i">2</v>
    <v t="i">3</v>
    <v t="i">4</v>
    <v t="i">7</v>
    <v t="i">8</v>
    <v t="i">9</v>
    <v t="i">10</v>
    <v t="i">11</v>
    <v t="i">14</v>
    <v t="i">15</v>
    <v t="i">16</v>
    <v t="i">17</v>
    <v t="i">18</v>
    <v t="i">21</v>
    <v t="i">22</v>
    <v t="i">28</v>
    <v t="i">29</v>
    <v t="i">32</v>
    <v t="i">35</v>
    <v t="i">36</v>
    <v t="i">37</v>
    <v t="i">38</v>
    <v t="i">39</v>
    <v t="i">42</v>
    <v t="i">43</v>
    <v t="i">44</v>
    <v t="i">45</v>
    <v t="i">46</v>
    <v t="i">50</v>
    <v t="i">51</v>
    <v t="i">52</v>
    <v t="i">53</v>
    <v t="i">56</v>
    <v t="i">57</v>
    <v t="i">58</v>
    <v t="i">59</v>
    <v t="i">60</v>
    <v t="i">63</v>
    <v t="i">64</v>
    <v t="i">65</v>
    <v t="i">66</v>
    <v t="i">67</v>
    <v t="i">70</v>
    <v t="i">71</v>
    <v t="i">72</v>
    <v t="i">73</v>
    <v t="i">74</v>
    <v t="i">78</v>
    <v t="i">79</v>
    <v t="i">80</v>
    <v t="i">81</v>
    <v t="i">84</v>
    <v t="i">85</v>
    <v t="i">86</v>
    <v t="i">87</v>
    <v t="i">88</v>
    <v t="i">91</v>
    <v t="i">92</v>
    <v t="i">93</v>
    <v t="i">94</v>
    <v t="i">95</v>
    <v t="i">98</v>
    <v t="i">99</v>
    <v t="i">100</v>
    <v t="i">101</v>
    <v t="i">102</v>
    <v t="i">105</v>
    <v t="i">106</v>
    <v t="i">107</v>
    <v t="i">108</v>
    <v t="i">109</v>
    <v t="i">112</v>
    <v t="i">113</v>
    <v t="i">114</v>
    <v t="i">115</v>
    <v t="i">116</v>
    <v t="i">119</v>
    <v t="i">120</v>
    <v t="i">121</v>
    <v t="i">122</v>
    <v t="i">127</v>
  </a>
  <a r="1" c="83">
    <v>212.20699999999999</v>
    <v>212.33099999999999</v>
    <v>212.51300000000001</v>
    <v>212.41800000000001</v>
    <v>212.416</v>
    <v>212.209</v>
    <v>212.05699999999999</v>
    <v>212.19499999999999</v>
    <v>212.28399999999999</v>
    <v>212.16800000000001</v>
    <v>212.29499999999999</v>
    <v>212.32599999999999</v>
    <v>212.315</v>
    <v>212.55600000000001</v>
    <v>212.6</v>
    <v>212.66200000000001</v>
    <v>212.68</v>
    <v>212.88399999999999</v>
    <v>212.97200000000001</v>
    <v>212.947</v>
    <v>213.19900000000001</v>
    <v>213.334</v>
    <v>213.411</v>
    <v>213.40899999999999</v>
    <v>213.50399999999999</v>
    <v>213.559</v>
    <v>213.64599999999999</v>
    <v>213.63200000000001</v>
    <v>213.68</v>
    <v>213.678</v>
    <v>213.22900000000001</v>
    <v>213.49</v>
    <v>213.7</v>
    <v>213.65600000000001</v>
    <v>213.733</v>
    <v>213.73500000000001</v>
    <v>213.69399999999999</v>
    <v>213.626</v>
    <v>213.63399999999999</v>
    <v>213.751</v>
    <v>213.71899999999999</v>
    <v>213.68700000000001</v>
    <v>213.59299999999999</v>
    <v>213.804</v>
    <v>213.929</v>
    <v>214.02799999999999</v>
    <v>213.94800000000001</v>
    <v>213.92500000000001</v>
    <v>213.91900000000001</v>
    <v>213.959</v>
    <v>214.184</v>
    <v>214.215</v>
    <v>214.29499999999999</v>
    <v>214.28800000000001</v>
    <v>214.23400000000001</v>
    <v>214.333</v>
    <v>214.31200000000001</v>
    <v>213.99700000000001</v>
    <v>213.608</v>
    <v>213.10300000000001</v>
    <v>213.626</v>
    <v>213.333</v>
    <v>212.65700000000001</v>
    <v>212.32300000000001</v>
    <v>212.87</v>
    <v>212.38399999999999</v>
    <v>211.47399999999999</v>
    <v>210.87200000000001</v>
    <v>211.178</v>
    <v>211.595</v>
    <v>211.32</v>
    <v>210.78899999999999</v>
    <v>209.916</v>
    <v>210.215</v>
    <v>210.047</v>
    <v>210.624</v>
    <v>209.77199999999999</v>
    <v>208.89500000000001</v>
    <v>208.965</v>
    <v>209.958</v>
    <v>210.84100000000001</v>
    <v>210.75399999999999</v>
    <v>211.04499999999999</v>
  </a>
</arrayData>
</file>

<file path=xl/richData/rdrichvalue.xml><?xml version="1.0" encoding="utf-8"?>
<rvData xmlns="http://schemas.microsoft.com/office/spreadsheetml/2017/richdata" count="3263">
  <rv s="0">
    <v>en-GB</v>
    <v>cdkgim</v>
    <v>268435456</v>
    <v>1</v>
    <v>Powered by Refinitiv</v>
    <v>0</v>
    <v>AmPrimeAllCntryWldUCITSETFUSDA (XETR:WEBN)</v>
    <v>2</v>
    <v>3</v>
    <v>Finance</v>
    <v>4</v>
    <v>11.69</v>
    <v>8.3019999999999996</v>
    <v>-1.7999999999999999E-2</v>
    <v>-1.614E-3</v>
    <v>EUR</v>
    <v>Xetra</v>
    <v>XETR</v>
    <v>7.000000000000001E-4</v>
    <v>11.173999999999999</v>
    <v>ETF</v>
    <v>46114.837326388886</v>
    <v>10.962</v>
    <v>1366128852.4549999</v>
    <v>AmPrimeAllCntryWldUCITSETFUSDA</v>
    <v>11.006</v>
    <v>11.154</v>
    <v>11.135999999999999</v>
    <v>WEBN</v>
    <v>AmPrimeAllCntryWldUCITSETFUSDA (XETR:WEBN)</v>
    <v>1450</v>
  </rv>
  <rv s="1">
    <v>0</v>
  </rv>
  <rv s="2">
    <v>https://www.bing.com/financeapi/forcetrigger?t=afrph7&amp;q=XETR%3aEUNL&amp;form=skydnc</v>
    <v>Learn more on Bing</v>
  </rv>
  <rv s="3">
    <v>en-GB</v>
    <v>afrph7</v>
    <v>268435456</v>
    <v>1</v>
    <v>Powered by Refinitiv</v>
    <v>5</v>
    <v>iShs CoreMSCI Wld ETF USD A (XETR:EUNL)</v>
    <v>6</v>
    <v>3</v>
    <v>Finance</v>
    <v>4</v>
    <v>115.05</v>
    <v>83</v>
    <v>2.5000000000000001E-2</v>
    <v>2.265E-4</v>
    <v>EUR</v>
    <v>Xetra</v>
    <v>XETR</v>
    <v>2E-3</v>
    <v>110.8</v>
    <v>ETF</v>
    <v>46114.837326388886</v>
    <v>2</v>
    <v>108.7</v>
    <v>123735056765.44</v>
    <v>iShs CoreMSCI Wld ETF USD A</v>
    <v>109.095</v>
    <v>110.355</v>
    <v>110.38</v>
    <v>EUNL</v>
    <v>iShs CoreMSCI Wld ETF USD A (XETR:EUNL)</v>
    <v>19558</v>
  </rv>
  <rv s="1">
    <v>3</v>
  </rv>
  <rv s="2">
    <v>https://www.bing.com/financeapi/forcetrigger?t=bwrxmw&amp;q=PLUS+Allabolag+Sverige+Index&amp;form=skydnc</v>
    <v>Learn more on Bing</v>
  </rv>
  <rv s="4">
    <v>en-GB</v>
    <v>bwrxmw</v>
    <v>268435456</v>
    <v>1</v>
    <v>Powered by Refinitiv</v>
    <v>7</v>
    <v>PLUS Allabolag Sverige Index</v>
    <v>8</v>
    <v>9</v>
    <v>Finance</v>
    <v>10</v>
    <v>4.5769000000000002</v>
    <v>2.7077E-2</v>
    <v>SE</v>
    <v>SEK</v>
    <v>2E-3</v>
    <v>Mutual Fund</v>
    <v>46113</v>
    <v>46117.463956099222</v>
    <v>5</v>
    <v>PLUS Allabolag Sverige Index</v>
    <v>4238702994.54</v>
    <v>169.03039999999999</v>
    <v>173.60730000000001</v>
    <v>1.5860000000000001</v>
    <v>-5.757E-3</v>
    <v>3.2242E-2</v>
    <v>0.13317899999999999</v>
    <v>1.4276E-2</v>
    <v>0.108933</v>
    <v>6.5641999999999992E-2</v>
    <v>1.4276E-2</v>
    <v>PLUS Allabolag Sverige Index</v>
  </rv>
  <rv s="1">
    <v>6</v>
  </rv>
  <rv s="2">
    <v>https://www.bing.com/financeapi/forcetrigger?t=auvthw&amp;q=Storebrand+Sverige+A+SEK&amp;form=skydnc</v>
    <v>Learn more on Bing</v>
  </rv>
  <rv s="4">
    <v>en-GB</v>
    <v>auvthw</v>
    <v>268435456</v>
    <v>1</v>
    <v>Powered by Refinitiv</v>
    <v>7</v>
    <v>Storebrand Sverige A SEK</v>
    <v>8</v>
    <v>9</v>
    <v>Finance</v>
    <v>10</v>
    <v>15.0877</v>
    <v>2.5550000000000003E-2</v>
    <v>SE</v>
    <v>SEK</v>
    <v>2.0999999999999999E-3</v>
    <v>Mutual Fund</v>
    <v>46113</v>
    <v>46118.710398082811</v>
    <v>8</v>
    <v>Storebrand Sverige A SEK</v>
    <v>17966555172.48</v>
    <v>590.50739999999996</v>
    <v>605.5951</v>
    <v>2.1667000000000001</v>
    <v>-1.3611999999999999E-2</v>
    <v>3.0691000000000003E-2</v>
    <v>0.15706699999999998</v>
    <v>2.7295E-2</v>
    <v>0.115573</v>
    <v>6.1932000000000001E-2</v>
    <v>2.7295E-2</v>
    <v>Storebrand Sverige A SEK</v>
  </rv>
  <rv s="1">
    <v>9</v>
  </rv>
  <rv s="0">
    <v>en-US</v>
    <v>cereu2</v>
    <v>268435456</v>
    <v>1</v>
    <v>Powered by Refinitiv</v>
    <v>0</v>
    <v>Avantis Gl SmCp Val UETF USDA (XETR:AVWS)</v>
    <v>2</v>
    <v>3</v>
    <v>Finance</v>
    <v>4</v>
    <v>23.004999999999999</v>
    <v>14.843999999999999</v>
    <v>-0.03</v>
    <v>-1.3370000000000001E-3</v>
    <v>EUR</v>
    <v>Xetra</v>
    <v>XETR</v>
    <v>3.9000000000000003E-3</v>
    <v>22.405000000000001</v>
    <v>ETF</v>
    <v>46114.837326388886</v>
    <v>22.1</v>
    <v>811759421.74000001</v>
    <v>Avantis Gl SmCp Val UETF USDA</v>
    <v>22.105</v>
    <v>22.434999999999999</v>
    <v>22.405000000000001</v>
    <v>AVWS</v>
    <v>Avantis Gl SmCp Val UETF USDA (XETR:AVWS)</v>
    <v>19435</v>
  </rv>
  <rv s="1">
    <v>11</v>
  </rv>
  <rv s="2">
    <v>https://www.bing.com/financeapi/forcetrigger?t=auurim&amp;q=Aktiespararna+Direktavkastning+A&amp;form=skydnc</v>
    <v>Learn more on Bing</v>
  </rv>
  <rv s="4">
    <v>en-US</v>
    <v>auurim</v>
    <v>268435456</v>
    <v>1</v>
    <v>Powered by Refinitiv</v>
    <v>7</v>
    <v>Aktiespararna Direktavkastning A</v>
    <v>8</v>
    <v>9</v>
    <v>Finance</v>
    <v>10</v>
    <v>4.6189999999999998</v>
    <v>1.7642999999999999E-2</v>
    <v>SE</v>
    <v>SEK</v>
    <v>3.0999999999999999E-3</v>
    <v>Mutual Fund</v>
    <v>46113</v>
    <v>46117.337033396092</v>
    <v>13</v>
    <v>Aktiespararna Direktavkastning A</v>
    <v>3479944092</v>
    <v>261.80900000000003</v>
    <v>266.428</v>
    <v>0.37630000000000002</v>
    <v>1.5253000000000001E-2</v>
    <v>3.7139000000000005E-2</v>
    <v>0.20816899999999999</v>
    <v>3.1272000000000001E-2</v>
    <v>0.12014799999999999</v>
    <v>7.837100000000001E-2</v>
    <v>3.6560000000000002E-2</v>
    <v>Aktiespararna Direktavkastning A</v>
  </rv>
  <rv s="1">
    <v>14</v>
  </rv>
  <rv s="2">
    <v>https://www.bing.com/financeapi/forcetrigger?t=autmlh&amp;q=SEB+Swedish+Value+Fund&amp;form=skydnc</v>
    <v>Learn more on Bing</v>
  </rv>
  <rv s="4">
    <v>en-US</v>
    <v>autmlh</v>
    <v>268435456</v>
    <v>1</v>
    <v>Powered by Refinitiv</v>
    <v>7</v>
    <v>SEB Swedish Value Fund A</v>
    <v>8</v>
    <v>9</v>
    <v>Finance</v>
    <v>10</v>
    <v>-4.8880999999999997</v>
    <v>-7.5820000000000002E-3</v>
    <v>SE</v>
    <v>SEK</v>
    <v>1.4999999999999999E-2</v>
    <v>Mutual Fund</v>
    <v>46114</v>
    <v>46118.849324003124</v>
    <v>16</v>
    <v>SEB Swedish Value Fund A</v>
    <v>13201961450.959999</v>
    <v>644.69650000000001</v>
    <v>639.80840000000001</v>
    <v>4.9443999999999999</v>
    <v>-1.6514999999999998E-2</v>
    <v>2.9672E-2</v>
    <v>0.22534999999999999</v>
    <v>1.5584000000000001E-2</v>
    <v>0.19217999999999999</v>
    <v>0.143536</v>
    <v>1.8359E-2</v>
    <v>SEB Swedish Value Fund A</v>
  </rv>
  <rv s="1">
    <v>17</v>
  </rv>
  <rv s="2">
    <v>https://www.bing.com/financeapi/forcetrigger?t=afv1vh&amp;q=XETR%3aXDEM&amp;form=skydnc</v>
    <v>Learn more on Bing</v>
  </rv>
  <rv s="3">
    <v>en-US</v>
    <v>afv1vh</v>
    <v>268435456</v>
    <v>1</v>
    <v>Powered by Refinitiv</v>
    <v>5</v>
    <v>X MSCI Wld Mmntm UCITS ETF 1C (XETR:XDEM)</v>
    <v>6</v>
    <v>3</v>
    <v>Finance</v>
    <v>4</v>
    <v>73.62</v>
    <v>51.55</v>
    <v>-0.27</v>
    <v>-3.8579999999999999E-3</v>
    <v>EUR</v>
    <v>Xetra</v>
    <v>XETR</v>
    <v>2.5000000000000001E-3</v>
    <v>69.95</v>
    <v>ETF</v>
    <v>46114.837326388886</v>
    <v>19</v>
    <v>68.02</v>
    <v>1906437740.01</v>
    <v>X MSCI Wld Mmntm UCITS ETF 1C</v>
    <v>68.47</v>
    <v>69.98</v>
    <v>69.709999999999994</v>
    <v>XDEM</v>
    <v>X MSCI Wld Mmntm UCITS ETF 1C (XETR:XDEM)</v>
    <v>159</v>
  </rv>
  <rv s="1">
    <v>20</v>
  </rv>
  <rv s="2">
    <v>https://www.bing.com/financeapi/forcetrigger?t=c2qjk2&amp;q=Aktiespararna+Smabolag+Edge&amp;form=skydnc</v>
    <v>Learn more on Bing</v>
  </rv>
  <rv s="5">
    <v>en-US</v>
    <v>c2qjk2</v>
    <v>268435456</v>
    <v>1</v>
    <v>Powered by Refinitiv</v>
    <v>11</v>
    <v>Aktiespararna Smabolag Edge</v>
    <v>8</v>
    <v>12</v>
    <v>Finance</v>
    <v>10</v>
    <v>3.1787000000000001</v>
    <v>2.5384000000000004E-2</v>
    <v>SE</v>
    <v>SEK</v>
    <v>3.2000000000000002E-3</v>
    <v>Mutual Fund</v>
    <v>46113</v>
    <v>46117.469946555466</v>
    <v>22</v>
    <v>Aktiespararna Smabolag Edge</v>
    <v>125.2229</v>
    <v>128.4016</v>
    <v>0</v>
    <v>8.7281999999999998E-2</v>
    <v>3.9517000000000004E-2</v>
    <v>-6.7921999999999996E-2</v>
    <v>-6.6963999999999996E-2</v>
    <v>5.0376000000000004E-2</v>
    <v>0</v>
    <v>-7.9821000000000003E-2</v>
    <v>Aktiespararna Smabolag Edge</v>
  </rv>
  <rv s="1">
    <v>23</v>
  </rv>
  <rv s="2">
    <v>https://www.bing.com/financeapi/forcetrigger?t=bubxlh&amp;q=Kvartil+Investmentbolag+%2b+Calc+A&amp;form=skydnc</v>
    <v>Learn more on Bing</v>
  </rv>
  <rv s="5">
    <v>en-US</v>
    <v>bubxlh</v>
    <v>268435456</v>
    <v>1</v>
    <v>Powered by Refinitiv</v>
    <v>11</v>
    <v>Kvartil Investmentbolag + Calc A</v>
    <v>8</v>
    <v>12</v>
    <v>Finance</v>
    <v>10</v>
    <v>-3.3849</v>
    <v>-1.4285000000000001E-2</v>
    <v>SE</v>
    <v>SEK</v>
    <v>5.6000000000000008E-3</v>
    <v>Mutual Fund</v>
    <v>46114</v>
    <v>46117.340686206247</v>
    <v>25</v>
    <v>Kvartil Investmentbolag + Calc A</v>
    <v>236.9528</v>
    <v>233.56790000000001</v>
    <v>0.69889999999999997</v>
    <v>-3.7966E-2</v>
    <v>3.5209000000000004E-2</v>
    <v>0.13982700000000001</v>
    <v>1.2078999999999999E-2</v>
    <v>0.121157</v>
    <v>8.2948000000000008E-2</v>
    <v>1.5399999999999999E-3</v>
    <v>Kvartil Investmentbolag + Calc A</v>
  </rv>
  <rv s="1">
    <v>26</v>
  </rv>
  <rv s="2">
    <v>https://www.bing.com/financeapi/forcetrigger?t=autuim&amp;q=Spiltan+Aktiefond+Investmentbolag&amp;form=skydnc</v>
    <v>Learn more on Bing</v>
  </rv>
  <rv s="4">
    <v>en-GB</v>
    <v>autuim</v>
    <v>268435456</v>
    <v>1</v>
    <v>Powered by Refinitiv</v>
    <v>7</v>
    <v>Spiltan Aktiefond Investmentbolag</v>
    <v>8</v>
    <v>9</v>
    <v>Finance</v>
    <v>10</v>
    <v>-16.89</v>
    <v>-1.8844E-2</v>
    <v>SE</v>
    <v>SEK</v>
    <v>2E-3</v>
    <v>Mutual Fund</v>
    <v>46114</v>
    <v>46117.208954553127</v>
    <v>28</v>
    <v>Spiltan Aktiefond Investmentbolag</v>
    <v>56153244517.5</v>
    <v>896.29</v>
    <v>879.4</v>
    <v>5</v>
    <v>-3.7139000000000005E-2</v>
    <v>2.0173999999999997E-2</v>
    <v>0.107027</v>
    <v>1.5403E-2</v>
    <v>0.115685</v>
    <v>7.8460000000000002E-2</v>
    <v>2.5769999999999999E-3</v>
    <v>Spiltan Aktiefond Investmentbolag</v>
  </rv>
  <rv s="1">
    <v>29</v>
  </rv>
  <rv s="2">
    <v>https://www.bing.com/financeapi/forcetrigger?t=afv252&amp;q=XETR%3aXDEV&amp;form=skydnc</v>
    <v>Learn more on Bing</v>
  </rv>
  <rv s="3">
    <v>en-GB</v>
    <v>afv252</v>
    <v>268435456</v>
    <v>1</v>
    <v>Powered by Refinitiv</v>
    <v>5</v>
    <v>X MSCI Wld Value UCITS ETF 1C (XETR:XDEV)</v>
    <v>6</v>
    <v>3</v>
    <v>Finance</v>
    <v>4</v>
    <v>58.49</v>
    <v>36.984999999999999</v>
    <v>-0.18</v>
    <v>-3.179E-3</v>
    <v>EUR</v>
    <v>Xetra</v>
    <v>XETR</v>
    <v>2.5000000000000001E-3</v>
    <v>56.51</v>
    <v>ETF</v>
    <v>46114.837326388886</v>
    <v>31</v>
    <v>55.45</v>
    <v>4475876646.8500004</v>
    <v>X MSCI Wld Value UCITS ETF 1C</v>
    <v>55.71</v>
    <v>56.62</v>
    <v>56.44</v>
    <v>XDEV</v>
    <v>X MSCI Wld Value UCITS ETF 1C (XETR:XDEV)</v>
    <v>1013</v>
  </rv>
  <rv s="1">
    <v>32</v>
  </rv>
  <rv s="0">
    <v>en-US</v>
    <v>cfde27</v>
    <v>268435456</v>
    <v>1</v>
    <v>Powered by Refinitiv</v>
    <v>0</v>
    <v>Avantis EM Eq UCITS ETF USDA (XETR:AVEM)</v>
    <v>2</v>
    <v>3</v>
    <v>Finance</v>
    <v>4</v>
    <v>26.11</v>
    <v>16.186</v>
    <v>-0.25</v>
    <v>-1.0417000000000001E-2</v>
    <v>EUR</v>
    <v>Xetra</v>
    <v>XETR</v>
    <v>3.4999999999999996E-3</v>
    <v>23.9</v>
    <v>ETF</v>
    <v>46114.837326388886</v>
    <v>23.4</v>
    <v>142958339.53999999</v>
    <v>Avantis EM Eq UCITS ETF USDA</v>
    <v>23.52</v>
    <v>24</v>
    <v>23.75</v>
    <v>AVEM</v>
    <v>Avantis EM Eq UCITS ETF USDA (XETR:AVEM)</v>
    <v>10243</v>
  </rv>
  <rv s="1">
    <v>34</v>
  </rv>
  <rv s="2">
    <v>https://www.bing.com/financeapi/forcetrigger?t=br6dmw&amp;q=Avanza+Emerging+Markets+A&amp;form=skydnc</v>
    <v>Learn more on Bing</v>
  </rv>
  <rv s="4">
    <v>en-GB</v>
    <v>br6dmw</v>
    <v>268435456</v>
    <v>1</v>
    <v>Powered by Refinitiv</v>
    <v>7</v>
    <v>Avanza Emerging Markets A</v>
    <v>8</v>
    <v>9</v>
    <v>Finance</v>
    <v>10</v>
    <v>2.08</v>
    <v>1.3121000000000001E-2</v>
    <v>SE</v>
    <v>SEK</v>
    <v>2.7000000000000001E-3</v>
    <v>Mutual Fund</v>
    <v>46113</v>
    <v>46117.340936587498</v>
    <v>36</v>
    <v>Avanza Emerging Markets A</v>
    <v>5910747656.8699999</v>
    <v>158.52000000000001</v>
    <v>160.6</v>
    <v>2.8047</v>
    <v>-5.8120000000000005E-2</v>
    <v>-7.2940000000000001E-3</v>
    <v>0.27805199999999997</v>
    <v>4.1031999999999999E-2</v>
    <v>0.12386599999999999</v>
    <v>5.5730000000000002E-2</v>
    <v>6.1186999999999998E-2</v>
    <v>Avanza Emerging Markets A</v>
  </rv>
  <rv s="1">
    <v>37</v>
  </rv>
  <rv s="2">
    <v>https://www.bing.com/financeapi/forcetrigger?t=autqa2&amp;q=Storebrand+Emerging+Markets+A+SEK&amp;form=skydnc</v>
    <v>Learn more on Bing</v>
  </rv>
  <rv s="4">
    <v>en-GB</v>
    <v>autqa2</v>
    <v>268435456</v>
    <v>1</v>
    <v>Powered by Refinitiv</v>
    <v>7</v>
    <v>Storebrand Emerging Markets A SEK</v>
    <v>8</v>
    <v>9</v>
    <v>Finance</v>
    <v>10</v>
    <v>5.9684999999999997</v>
    <v>2.5628999999999999E-2</v>
    <v>SE</v>
    <v>SEK</v>
    <v>4.3E-3</v>
    <v>Mutual Fund</v>
    <v>46113</v>
    <v>46119.209035607033</v>
    <v>39</v>
    <v>Storebrand Emerging Markets A SEK</v>
    <v>20287782465.529999</v>
    <v>232.87690000000001</v>
    <v>238.84540000000001</v>
    <v>3.4401000000000002</v>
    <v>-3.5272999999999999E-2</v>
    <v>-8.9540000000000002E-3</v>
    <v>0.26146399999999997</v>
    <v>5.4226999999999997E-2</v>
    <v>0.137849</v>
    <v>6.1371000000000002E-2</v>
    <v>5.4226999999999997E-2</v>
    <v>Storebrand Emerging Markets A SEK</v>
  </rv>
  <rv s="1">
    <v>40</v>
  </rv>
  <rv s="2">
    <v>https://www.bing.com/financeapi/forcetrigger?t=afsfrw&amp;q=XETR%3aIS04&amp;form=skydnc</v>
    <v>Learn more on Bing</v>
  </rv>
  <rv s="3">
    <v>en-US</v>
    <v>afsfrw</v>
    <v>268435456</v>
    <v>1</v>
    <v>Powered by Refinitiv</v>
    <v>5</v>
    <v>iShs $ Trs Bd 20+y ETF USDD (XETR:IS04)</v>
    <v>6</v>
    <v>3</v>
    <v>Finance</v>
    <v>4</v>
    <v>3.1789999999999998</v>
    <v>2.6589999999999998</v>
    <v>2.1299999999999999E-2</v>
    <v>7.6429999999999996E-3</v>
    <v>EUR</v>
    <v>Xetra</v>
    <v>XETR</v>
    <v>7.000000000000001E-4</v>
    <v>2.8083999999999998</v>
    <v>ETF</v>
    <v>46114.837326388886</v>
    <v>42</v>
    <v>2.7759</v>
    <v>1012276867.36</v>
    <v>iShs $ Trs Bd 20+y ETF USDD</v>
    <v>2.7759</v>
    <v>2.7867999999999999</v>
    <v>2.8081</v>
    <v>IS04</v>
    <v>iShs $ Trs Bd 20+y ETF USDD (XETR:IS04)</v>
    <v>10154</v>
  </rv>
  <rv s="1">
    <v>43</v>
  </rv>
  <rv s="2">
    <v>https://www.bing.com/financeapi/forcetrigger?t=azzdbh&amp;q=XLON%3aDTLA&amp;form=skydnc</v>
    <v>Learn more on Bing</v>
  </rv>
  <rv s="6">
    <v>en-GB</v>
    <v>azzdbh</v>
    <v>268435456</v>
    <v>1</v>
    <v>Powered by Refinitiv</v>
    <v>13</v>
    <v>iShs $ Trs Bd 20+y ETF USDA (XLON:DTLA)</v>
    <v>6</v>
    <v>14</v>
    <v>Finance</v>
    <v>15</v>
    <v>4.915</v>
    <v>4.2409999999999997</v>
    <v>2.6154999999999999</v>
    <v>-1.5E-3</v>
    <v>-0.24816099999999999</v>
    <v>-3.2439999999999997E-4</v>
    <v>-1.147</v>
    <v>USD</v>
    <v>London Stock Exchange</v>
    <v>XLON</v>
    <v>7.000000000000001E-4</v>
    <v>4.6280000000000001</v>
    <v>ETF</v>
    <v>46114.657951388886</v>
    <v>45</v>
    <v>4.569</v>
    <v>2408907341.8200002</v>
    <v>iShs $ Trs Bd 20+y ETF USDA</v>
    <v>4.5780000000000003</v>
    <v>4.6234999999999999</v>
    <v>4.6219999999999999</v>
    <v>3.4750000000000001</v>
    <v>DTLA</v>
    <v>iShs $ Trs Bd 20+y ETF USDA (XLON:DTLA)</v>
    <v>711544</v>
  </rv>
  <rv s="1">
    <v>46</v>
  </rv>
  <rv s="2">
    <v>https://www.bing.com/financeapi/forcetrigger?t=a24b5r&amp;q=XNAS%3aTLT&amp;form=skydnc</v>
    <v>Learn more on Bing</v>
  </rv>
  <rv s="7">
    <v>en-GB</v>
    <v>a24b5r</v>
    <v>268435456</v>
    <v>1</v>
    <v>Powered by Refinitiv</v>
    <v>16</v>
    <v>iShares:20+ Trs Bd ETF (XNAS:TLT)</v>
    <v>6</v>
    <v>17</v>
    <v>Finance</v>
    <v>18</v>
    <v>92.19</v>
    <v>83.295000000000002</v>
    <v>1.1044</v>
    <v>-0.14000000000000001</v>
    <v>-1.154E-4</v>
    <v>-1.6130000000000001E-3</v>
    <v>-0.01</v>
    <v>USD</v>
    <v>Nasdaq Stock Market</v>
    <v>XNAS</v>
    <v>1.5E-3</v>
    <v>86.85</v>
    <v>ETF</v>
    <v>46118.997810890622</v>
    <v>48</v>
    <v>86.385000000000005</v>
    <v>42618561295.529999</v>
    <v>iShares:20+ Trs Bd ETF</v>
    <v>86.5</v>
    <v>86.79</v>
    <v>86.65</v>
    <v>86.64</v>
    <v>TLT</v>
    <v>iShares:20+ Trs Bd ETF (XNAS:TLT)</v>
    <v>14660325</v>
    <v>47137953</v>
  </rv>
  <rv s="1">
    <v>49</v>
  </rv>
  <rv s="0">
    <v>en-US</v>
    <v>cdd2z2</v>
    <v>268435456</v>
    <v>1</v>
    <v>Powered by Refinitiv</v>
    <v>0</v>
    <v>iShs € Gvt Bd20yrTgtDurETFEURA (XETR:CEB1)</v>
    <v>2</v>
    <v>3</v>
    <v>Finance</v>
    <v>4</v>
    <v>4.9489999999999998</v>
    <v>4.4660000000000002</v>
    <v>1.9E-3</v>
    <v>4.126E-4</v>
    <v>EUR</v>
    <v>Xetra</v>
    <v>XETR</v>
    <v>1.5E-3</v>
    <v>4.6071</v>
    <v>ETF</v>
    <v>46114.837326388886</v>
    <v>4.5576999999999996</v>
    <v>87092281.780000001</v>
    <v>iShs € Gvt Bd20yrTgtDurETFEURA</v>
    <v>4.5738000000000003</v>
    <v>4.6052</v>
    <v>4.6071</v>
    <v>CEB1</v>
    <v>iShs € Gvt Bd20yrTgtDurETFEURA (XETR:CEB1)</v>
    <v>6234</v>
  </rv>
  <rv s="1">
    <v>51</v>
  </rv>
  <rv s="2">
    <v>https://www.bing.com/financeapi/forcetrigger?t=afr627&amp;q=XETR%3aDBXG&amp;form=skydnc</v>
    <v>Learn more on Bing</v>
  </rv>
  <rv s="8">
    <v>en-GB</v>
    <v>afr627</v>
    <v>268435456</v>
    <v>1</v>
    <v>Powered by Refinitiv</v>
    <v>19</v>
    <v>X EUROZONE GOV 25+ 1C (XETR:DBXG)</v>
    <v>6</v>
    <v>20</v>
    <v>Finance</v>
    <v>4</v>
    <v>266.95999999999998</v>
    <v>243.2</v>
    <v>2.3296999999999999</v>
    <v>-0.33</v>
    <v>-1.3059999999999999E-3</v>
    <v>EUR</v>
    <v>Xetra</v>
    <v>XETR</v>
    <v>1.5E-3</v>
    <v>252.29</v>
    <v>ETF</v>
    <v>46114.837326388886</v>
    <v>53</v>
    <v>249.17</v>
    <v>114392700</v>
    <v>X EUROZONE GOV 25+ 1C</v>
    <v>250.4</v>
    <v>252.62</v>
    <v>252.29</v>
    <v>DBXG</v>
    <v>X EUROZONE GOV 25+ 1C (XETR:DBXG)</v>
    <v>15</v>
  </rv>
  <rv s="1">
    <v>54</v>
  </rv>
  <rv s="2">
    <v>https://www.bing.com/financeapi/forcetrigger?t=bqusoc&amp;q=Captor+Iris+Bond+A&amp;form=skydnc</v>
    <v>Learn more on Bing</v>
  </rv>
  <rv s="5">
    <v>en-US</v>
    <v>bqusoc</v>
    <v>268435456</v>
    <v>1</v>
    <v>Powered by Refinitiv</v>
    <v>11</v>
    <v>Captor Iris Bond A</v>
    <v>8</v>
    <v>12</v>
    <v>Finance</v>
    <v>10</v>
    <v>-1.8613</v>
    <v>-7.169E-3</v>
    <v>SE</v>
    <v>SEK</v>
    <v>5.0000000000000001E-3</v>
    <v>Mutual Fund</v>
    <v>46114</v>
    <v>46117.342318615621</v>
    <v>56</v>
    <v>Captor Iris Bond A</v>
    <v>259.62189999999998</v>
    <v>257.76060000000001</v>
    <v>4.8624000000000001</v>
    <v>-3.8399999999999997E-2</v>
    <v>5.2370000000000003E-3</v>
    <v>8.9580000000000007E-3</v>
    <v>-1.7503999999999999E-2</v>
    <v>2.2065999999999999E-2</v>
    <v>-2.9079000000000001E-2</v>
    <v>-1.9293000000000001E-2</v>
    <v>Captor Iris Bond A</v>
  </rv>
  <rv s="1">
    <v>57</v>
  </rv>
  <rv s="2">
    <v>https://www.bing.com/financeapi/forcetrigger?t=auvesm&amp;q=AMF+Rantefond+Lang&amp;form=skydnc</v>
    <v>Learn more on Bing</v>
  </rv>
  <rv s="4">
    <v>en-GB</v>
    <v>auvesm</v>
    <v>268435456</v>
    <v>1</v>
    <v>Powered by Refinitiv</v>
    <v>7</v>
    <v>AMF Rantefond Lang</v>
    <v>8</v>
    <v>9</v>
    <v>Finance</v>
    <v>10</v>
    <v>-0.39</v>
    <v>-2.4690000000000003E-3</v>
    <v>SE</v>
    <v>SEK</v>
    <v>1E-3</v>
    <v>Mutual Fund</v>
    <v>46114</v>
    <v>46118.71044181953</v>
    <v>59</v>
    <v>AMF Rantefond Lang</v>
    <v>12532200000</v>
    <v>157.97</v>
    <v>157.58000000000001</v>
    <v>2.9508000000000001</v>
    <v>-1.2471000000000001E-2</v>
    <v>4.0140000000000002E-3</v>
    <v>2.2515999999999998E-2</v>
    <v>-3.6670000000000001E-3</v>
    <v>3.8356000000000001E-2</v>
    <v>8.650999999999999E-3</v>
    <v>-4.4850000000000003E-3</v>
    <v>AMF Rantefond Lang</v>
  </rv>
  <rv s="1">
    <v>60</v>
  </rv>
  <rv s="2">
    <v>https://www.bing.com/financeapi/forcetrigger?t=c1vxbh&amp;q=Captor+Aster+Global+Credit+A&amp;form=skydnc</v>
    <v>Learn more on Bing</v>
  </rv>
  <rv s="5">
    <v>en-US</v>
    <v>c1vxbh</v>
    <v>268435456</v>
    <v>1</v>
    <v>Powered by Refinitiv</v>
    <v>11</v>
    <v>Captor Aster Global Credit A</v>
    <v>8</v>
    <v>12</v>
    <v>Finance</v>
    <v>10</v>
    <v>-2.3227000000000002</v>
    <v>-8.1150000000000007E-3</v>
    <v>SE</v>
    <v>SEK</v>
    <v>6.0000000000000001E-3</v>
    <v>Mutual Fund</v>
    <v>46114</v>
    <v>46117.600805845315</v>
    <v>62</v>
    <v>Captor Aster Global Credit A</v>
    <v>286.2276</v>
    <v>283.9049</v>
    <v>0</v>
    <v>-3.8507E-2</v>
    <v>6.8799999999999998E-3</v>
    <v>2.1059000000000001E-2</v>
    <v>-2.7146E-2</v>
    <v>4.564E-2</v>
    <v>0</v>
    <v>-2.8351000000000001E-2</v>
    <v>Captor Aster Global Credit A</v>
  </rv>
  <rv s="1">
    <v>63</v>
  </rv>
  <rv s="2">
    <v>https://www.bing.com/financeapi/forcetrigger?t=azzz1h&amp;q=Storebrand+Global+Foretagsobligation+A+SEK&amp;form=skydnc</v>
    <v>Learn more on Bing</v>
  </rv>
  <rv s="4">
    <v>en-GB</v>
    <v>azzz1h</v>
    <v>268435456</v>
    <v>1</v>
    <v>Powered by Refinitiv</v>
    <v>7</v>
    <v>Storebrand Global Foretagsobligation A SEK</v>
    <v>8</v>
    <v>9</v>
    <v>Finance</v>
    <v>10</v>
    <v>0.19070000000000001</v>
    <v>1.7849999999999999E-3</v>
    <v>SE</v>
    <v>SEK</v>
    <v>5.1000000000000004E-3</v>
    <v>Mutual Fund</v>
    <v>46113</v>
    <v>46117.335167902347</v>
    <v>65</v>
    <v>Storebrand Global Foretagsobligation A SEK</v>
    <v>4684028267.9200001</v>
    <v>106.8296</v>
    <v>107.02030000000001</v>
    <v>3.3332999999999999</v>
    <v>-1.2E-2</v>
    <v>4.9639999999999992E-4</v>
    <v>1.8668000000000001E-2</v>
    <v>-7.705E-3</v>
    <v>3.1196999999999999E-2</v>
    <v>-3.725E-3</v>
    <v>-7.705E-3</v>
    <v>Storebrand Global Foretagsobligation A SEK</v>
  </rv>
  <rv s="1">
    <v>66</v>
  </rv>
  <rv s="2">
    <v>https://www.bing.com/financeapi/forcetrigger?t=atz78m&amp;q=SEB+Global+High+Yield+Fund+C+(H-SEK)&amp;form=skydnc</v>
    <v>Learn more on Bing</v>
  </rv>
  <rv s="4">
    <v>en-GB</v>
    <v>atz78m</v>
    <v>268435456</v>
    <v>1</v>
    <v>Powered by Refinitiv</v>
    <v>7</v>
    <v>SEB Global High Yield Fund C (H-SEK)</v>
    <v>8</v>
    <v>9</v>
    <v>Finance</v>
    <v>10</v>
    <v>0.88300000000000001</v>
    <v>4.2059999999999997E-3</v>
    <v>LU</v>
    <v>SEK</v>
    <v>1.06E-2</v>
    <v>Mutual Fund</v>
    <v>46113</v>
    <v>46118.712124784375</v>
    <v>68</v>
    <v>SEB Global High Yield Fund C (H-SEK)</v>
    <v>11564123.16</v>
    <v>209.958</v>
    <v>210.84100000000001</v>
    <v>6.4899999999999999E-2</v>
    <v>-1.0615000000000001E-2</v>
    <v>1.0299999999999999E-3</v>
    <v>3.7751E-2</v>
    <v>-1.0005999999999999E-2</v>
    <v>5.5766000000000003E-2</v>
    <v>1.1014999999999999E-2</v>
    <v>-1.0005999999999999E-2</v>
    <v>SEB Global High Yield Fund C (H-SEK)</v>
  </rv>
  <rv s="1">
    <v>69</v>
  </rv>
  <rv s="2">
    <v>https://www.bing.com/financeapi/forcetrigger?t=c3jef2&amp;q=XETR%3aEN4C&amp;form=skydnc</v>
    <v>Learn more on Bing</v>
  </rv>
  <rv s="3">
    <v>en-US</v>
    <v>c3jef2</v>
    <v>268435456</v>
    <v>1</v>
    <v>Powered by Refinitiv</v>
    <v>5</v>
    <v>L&amp;GMltStrgEnhCommsUCITSETFUSDA (XETR:EN4C)</v>
    <v>6</v>
    <v>3</v>
    <v>Finance</v>
    <v>4</v>
    <v>16.172000000000001</v>
    <v>11.683999999999999</v>
    <v>0.156</v>
    <v>1.01E-2</v>
    <v>EUR</v>
    <v>Xetra</v>
    <v>XETR</v>
    <v>3.0000000000000001E-3</v>
    <v>15.821999999999999</v>
    <v>ETF</v>
    <v>46114.837326388886</v>
    <v>71</v>
    <v>15.577999999999999</v>
    <v>1332636410.29</v>
    <v>L&amp;GMltStrgEnhCommsUCITSETFUSDA</v>
    <v>15.776</v>
    <v>15.446</v>
    <v>15.602</v>
    <v>EN4C</v>
    <v>L&amp;GMltStrgEnhCommsUCITSETFUSDA (XETR:EN4C)</v>
    <v>22913</v>
  </rv>
  <rv s="1">
    <v>72</v>
  </rv>
  <rv s="2">
    <v>https://www.bing.com/financeapi/forcetrigger?t=a1zmf2&amp;q=XNAS%3aPDBC&amp;form=skydnc</v>
    <v>Learn more on Bing</v>
  </rv>
  <rv s="7">
    <v>en-GB</v>
    <v>a1zmf2</v>
    <v>268435456</v>
    <v>1</v>
    <v>Powered by Refinitiv</v>
    <v>16</v>
    <v>Invesco OYDCS No K-1 (XNAS:PDBC)</v>
    <v>6</v>
    <v>17</v>
    <v>Finance</v>
    <v>21</v>
    <v>17.670000000000002</v>
    <v>12.015000000000001</v>
    <v>0.45040000000000002</v>
    <v>0.03</v>
    <v>6.8379999999999995E-3</v>
    <v>1.712E-3</v>
    <v>0.12</v>
    <v>USD</v>
    <v>Nasdaq Stock Market</v>
    <v>XNAS</v>
    <v>4.4000000000000003E-3</v>
    <v>17.670000000000002</v>
    <v>ETF</v>
    <v>46118.994886446097</v>
    <v>74</v>
    <v>17.46</v>
    <v>6465692604.4099998</v>
    <v>Invesco OYDCS No K-1</v>
    <v>17.52</v>
    <v>17.52</v>
    <v>17.55</v>
    <v>17.670000000000002</v>
    <v>PDBC</v>
    <v>Invesco OYDCS No K-1 (XNAS:PDBC)</v>
    <v>8703379</v>
    <v>12938425</v>
  </rv>
  <rv s="1">
    <v>75</v>
  </rv>
  <rv s="2">
    <v>https://www.bing.com/financeapi/forcetrigger?t=a1qrgh&amp;q=ARCX%3aDBC&amp;form=skydnc</v>
    <v>Learn more on Bing</v>
  </rv>
  <rv s="7">
    <v>en-GB</v>
    <v>a1qrgh</v>
    <v>268435456</v>
    <v>1</v>
    <v>Powered by Refinitiv</v>
    <v>16</v>
    <v>Invesco DB Cm Idx (ARCX:DBC)</v>
    <v>6</v>
    <v>17</v>
    <v>Finance</v>
    <v>21</v>
    <v>29.61</v>
    <v>19.8443</v>
    <v>0.38529999999999998</v>
    <v>0.15</v>
    <v>2.0349999999999999E-3</v>
    <v>5.1139999999999996E-3</v>
    <v>0.06</v>
    <v>USD</v>
    <v>NYSE Arca</v>
    <v>ARCX</v>
    <v>8.199999999999999E-3</v>
    <v>29.61</v>
    <v>ETF</v>
    <v>46118.998763263284</v>
    <v>77</v>
    <v>29.27</v>
    <v>1694245861.1900001</v>
    <v>Invesco DB Cm Idx</v>
    <v>29.39</v>
    <v>29.33</v>
    <v>29.48</v>
    <v>29.54</v>
    <v>DBC</v>
    <v>Invesco DB Cm Idx (ARCX:DBC)</v>
    <v>1310961</v>
    <v>1995434</v>
  </rv>
  <rv s="1">
    <v>78</v>
  </rv>
  <rv s="2">
    <v>https://www.bing.com/financeapi/forcetrigger?t=auuja2&amp;q=Swedbank+Robur+Realranta&amp;form=skydnc</v>
    <v>Learn more on Bing</v>
  </rv>
  <rv s="4">
    <v>en-US</v>
    <v>auuja2</v>
    <v>268435456</v>
    <v>1</v>
    <v>Powered by Refinitiv</v>
    <v>7</v>
    <v>Swedbank Robur Realranta</v>
    <v>8</v>
    <v>9</v>
    <v>Finance</v>
    <v>10</v>
    <v>0.28000000000000003</v>
    <v>1.897E-3</v>
    <v>SE</v>
    <v>SEK</v>
    <v>3.0000000000000001E-3</v>
    <v>Mutual Fund</v>
    <v>46113</v>
    <v>46118.843260431247</v>
    <v>80</v>
    <v>Swedbank Robur Realranta</v>
    <v>3176032800</v>
    <v>147.57</v>
    <v>147.85</v>
    <v>3.3332999999999999</v>
    <v>5.5769999999999995E-3</v>
    <v>7.221E-3</v>
    <v>3.3829999999999998E-4</v>
    <v>8.183000000000001E-3</v>
    <v>1.5061E-2</v>
    <v>1.3517E-2</v>
    <v>6.1250000000000002E-3</v>
    <v>Swedbank Robur Realranta</v>
  </rv>
  <rv s="1">
    <v>81</v>
  </rv>
  <rv s="2">
    <v>https://www.bing.com/financeapi/forcetrigger?t=ae2cc7&amp;q=Danske+Invest+Globala+Realrantor+SEK+h&amp;form=skydnc</v>
    <v>Learn more on Bing</v>
  </rv>
  <rv s="4">
    <v>en-US</v>
    <v>ae2cc7</v>
    <v>268435456</v>
    <v>1</v>
    <v>Powered by Refinitiv</v>
    <v>7</v>
    <v>Danske Invest Globala Realrantor SEK h</v>
    <v>8</v>
    <v>9</v>
    <v>Finance</v>
    <v>10</v>
    <v>0.48</v>
    <v>3.895E-3</v>
    <v>DK</v>
    <v>SEK</v>
    <v>6.1999999999999998E-3</v>
    <v>Mutual Fund</v>
    <v>46113</v>
    <v>46118.854885346096</v>
    <v>83</v>
    <v>Danske Invest Globala Realrantor SEK h</v>
    <v>138410639</v>
    <v>123.24</v>
    <v>123.72</v>
    <v>7.5200000000000003E-2</v>
    <v>-1.1030999999999999E-2</v>
    <v>4.6280000000000002E-3</v>
    <v>6.8360000000000001E-3</v>
    <v>2.5929999999999998E-3</v>
    <v>-5.5900000000000004E-3</v>
    <v>-2.2869999999999998E-2</v>
    <v>2.5929999999999998E-3</v>
    <v>Danske Invest Globala Realrantor SEK h</v>
  </rv>
  <rv s="1">
    <v>84</v>
  </rv>
  <rv s="2">
    <v>https://www.bing.com/financeapi/forcetrigger?t=bqssk2&amp;q=XETR%3aGLDA&amp;form=skydnc</v>
    <v>Learn more on Bing</v>
  </rv>
  <rv s="9">
    <v>en-US</v>
    <v>bqssk2</v>
    <v>268435456</v>
    <v>1</v>
    <v>Powered by Refinitiv</v>
    <v>22</v>
    <v>AMND GOLD LBMA ETF (XETR:GLDA)</v>
    <v>6</v>
    <v>23</v>
    <v>Finance</v>
    <v>4</v>
    <v>183.81</v>
    <v>108.3</v>
    <v>-2.83</v>
    <v>-1.7337000000000002E-2</v>
    <v>EUR</v>
    <v>Xetra</v>
    <v>XETR</v>
    <v>161.11000000000001</v>
    <v>ETF</v>
    <v>46114.837326388886</v>
    <v>86</v>
    <v>157.65</v>
    <v>AMND GOLD LBMA ETF</v>
    <v>158.78</v>
    <v>163.22999999999999</v>
    <v>160.4</v>
    <v>GLDA</v>
    <v>AMND GOLD LBMA ETF (XETR:GLDA)</v>
    <v>11</v>
  </rv>
  <rv s="1">
    <v>87</v>
  </rv>
  <rv s="2">
    <v>https://www.bing.com/financeapi/forcetrigger?t=btx9hw&amp;q=XETR%3a8PSG&amp;form=skydnc</v>
    <v>Learn more on Bing</v>
  </rv>
  <rv s="9">
    <v>en-US</v>
    <v>btx9hw</v>
    <v>268435456</v>
    <v>1</v>
    <v>Powered by Refinitiv</v>
    <v>22</v>
    <v>INVESCO PHYSICAL GOLD ETC (XETR:8PSG)</v>
    <v>6</v>
    <v>23</v>
    <v>Finance</v>
    <v>4</v>
    <v>446.46</v>
    <v>262.89999999999998</v>
    <v>-7.1</v>
    <v>-1.7915E-2</v>
    <v>EUR</v>
    <v>Xetra</v>
    <v>XETR</v>
    <v>391.2</v>
    <v>ETF</v>
    <v>46114.837326388886</v>
    <v>89</v>
    <v>382.52</v>
    <v>INVESCO PHYSICAL GOLD ETC</v>
    <v>385.64</v>
    <v>396.32</v>
    <v>389.22</v>
    <v>8PSG</v>
    <v>INVESCO PHYSICAL GOLD ETC (XETR:8PSG)</v>
    <v>41</v>
  </rv>
  <rv s="1">
    <v>90</v>
  </rv>
  <rv s="0">
    <v>en-US</v>
    <v>c75s6h</v>
    <v>268435456</v>
    <v>1</v>
    <v>Powered by Refinitiv</v>
    <v>0</v>
    <v>WT Physical Swiss Gold (XETR:GZUR)</v>
    <v>2</v>
    <v>3</v>
    <v>Finance</v>
    <v>4</v>
    <v>443.64</v>
    <v>261.36</v>
    <v>-7.04</v>
    <v>-1.7873E-2</v>
    <v>EUR</v>
    <v>Xetra</v>
    <v>XETR</v>
    <v>1.5E-3</v>
    <v>387.54</v>
    <v>ETF</v>
    <v>46114.837326388886</v>
    <v>380.6</v>
    <v>5205006315.8299999</v>
    <v>WT Physical Swiss Gold</v>
    <v>383.18</v>
    <v>393.88</v>
    <v>386.84</v>
    <v>GZUR</v>
    <v>WT Physical Swiss Gold (XETR:GZUR)</v>
    <v>920</v>
  </rv>
  <rv s="1">
    <v>92</v>
  </rv>
  <rv s="2">
    <v>https://www.bing.com/financeapi/forcetrigger?t=afq8k2&amp;q=XETR%3a4GLD&amp;form=skydnc</v>
    <v>Learn more on Bing</v>
  </rv>
  <rv s="9">
    <v>en-GB</v>
    <v>afq8k2</v>
    <v>268435456</v>
    <v>1</v>
    <v>Powered by Refinitiv</v>
    <v>22</v>
    <v>DT BOERSE COMMOD GOLD ETC (XETR:4GLD)</v>
    <v>6</v>
    <v>23</v>
    <v>Finance</v>
    <v>4</v>
    <v>149.11000000000001</v>
    <v>87.704999999999998</v>
    <v>-2.36</v>
    <v>-1.7817E-2</v>
    <v>EUR</v>
    <v>Xetra</v>
    <v>XETR</v>
    <v>130.78</v>
    <v>ETF</v>
    <v>46114.837326388886</v>
    <v>94</v>
    <v>127.89</v>
    <v>DT BOERSE COMMOD GOLD ETC</v>
    <v>128.9</v>
    <v>132.46</v>
    <v>130.1</v>
    <v>4GLD</v>
    <v>DT BOERSE COMMOD GOLD ETC (XETR:4GLD)</v>
    <v>740</v>
  </rv>
  <rv s="1">
    <v>95</v>
  </rv>
  <rv s="2">
    <v>https://www.bing.com/financeapi/forcetrigger?t=as9bjc&amp;q=Amundi+Funds+Volatility+World+-+A+USD+(C)&amp;form=skydnc</v>
    <v>Learn more on Bing</v>
  </rv>
  <rv s="4">
    <v>en-GB</v>
    <v>as9bjc</v>
    <v>268435456</v>
    <v>1</v>
    <v>Powered by Refinitiv</v>
    <v>7</v>
    <v>Amundi Funds Volatility World - A USD (C)</v>
    <v>8</v>
    <v>24</v>
    <v>Finance</v>
    <v>10</v>
    <v>-0.73</v>
    <v>-6.0280000000000004E-3</v>
    <v>LU</v>
    <v>USD</v>
    <v>1.4800000000000001E-2</v>
    <v>Mutual Fund</v>
    <v>46113</v>
    <v>46118.840634193752</v>
    <v>97</v>
    <v>Amundi Funds Volatility World - A USD (C)</v>
    <v>22845300</v>
    <v>121.11</v>
    <v>120.38</v>
    <v>0.37309999999999999</v>
    <v>2.5558000000000001E-2</v>
    <v>-7.5029999999999993E-3</v>
    <v>7.4820999999999999E-2</v>
    <v>5.2365000000000002E-2</v>
    <v>3.7602999999999998E-2</v>
    <v>2.6768E-2</v>
    <v>5.1353999999999997E-2</v>
    <v>Amundi Funds Volatility World - A USD (C)</v>
  </rv>
  <rv s="1">
    <v>98</v>
  </rv>
  <rv s="10">
    <v>en-US</v>
    <v>cg66ur</v>
    <v>268435456</v>
    <v>1</v>
    <v>Powered by Refinitiv</v>
    <v>25</v>
    <v>Mandatum Managed Futures H SEK cap perf</v>
    <v>26</v>
    <v>27</v>
    <v>Finance</v>
    <v>10</v>
    <v>-2.9148999999999998</v>
    <v>-2.8710000000000003E-3</v>
    <v>LU</v>
    <v>SEK</v>
    <v>Mutual Fund</v>
    <v>46113</v>
    <v>46117.344372114843</v>
    <v>Mandatum Managed Futures H SEK cap perf</v>
    <v>28804809.109999999</v>
    <v>1015.3819999999999</v>
    <v>1012.4671</v>
    <v>0</v>
    <v>-3.5699999999999996E-2</v>
    <v>-7.5919999999999998E-3</v>
    <v>4.0411999999999997E-2</v>
    <v>-1.7117E-2</v>
    <v>0</v>
    <v>0</v>
    <v>-1.6292000000000001E-2</v>
    <v>Mandatum Managed Futures H SEK cap perf</v>
  </rv>
  <rv s="1">
    <v>100</v>
  </rv>
  <rv s="2">
    <v>https://www.bing.com/financeapi/forcetrigger?t=auu2ar&amp;q=Lynx+Dynamic&amp;form=skydnc</v>
    <v>Learn more on Bing</v>
  </rv>
  <rv s="5">
    <v>en-GB</v>
    <v>auu2ar</v>
    <v>268435456</v>
    <v>1</v>
    <v>Powered by Refinitiv</v>
    <v>11</v>
    <v>Lynx Dynamic</v>
    <v>8</v>
    <v>12</v>
    <v>Finance</v>
    <v>10</v>
    <v>-7.9710000000000001</v>
    <v>-4.4749999999999998E-2</v>
    <v>SE</v>
    <v>SEK</v>
    <v>2.1700000000000001E-2</v>
    <v>Mutual Fund</v>
    <v>46112</v>
    <v>46117.336808072658</v>
    <v>102</v>
    <v>Lynx Dynamic</v>
    <v>178.1234</v>
    <v>170.1524</v>
    <v>0</v>
    <v>-4.4749999999999998E-2</v>
    <v>-4.4749999999999998E-2</v>
    <v>0.133608</v>
    <v>8.6896000000000001E-2</v>
    <v>6.4861000000000002E-2</v>
    <v>5.8463000000000001E-2</v>
    <v>8.6896000000000001E-2</v>
    <v>Lynx Dynamic</v>
  </rv>
  <rv s="1">
    <v>103</v>
  </rv>
  <rv s="2">
    <v>https://www.bing.com/financeapi/forcetrigger?t=bxpscw&amp;q=XETR%3aUBF6&amp;form=skydnc</v>
    <v>Learn more on Bing</v>
  </rv>
  <rv s="3">
    <v>en-US</v>
    <v>bxpscw</v>
    <v>268435456</v>
    <v>1</v>
    <v>Powered by Refinitiv</v>
    <v>5</v>
    <v>UBSCMCIComCrExAgSFUCITSETFUSDa (XETR:UBF6)</v>
    <v>6</v>
    <v>3</v>
    <v>Finance</v>
    <v>4</v>
    <v>128.91999999999999</v>
    <v>76.569999999999993</v>
    <v>-7.13</v>
    <v>-8.5184999999999997E-2</v>
    <v>EUR</v>
    <v>Xetra</v>
    <v>XETR</v>
    <v>3.4000000000000002E-3</v>
    <v>81.239999999999995</v>
    <v>ETF</v>
    <v>46114.837326388886</v>
    <v>105</v>
    <v>76.569999999999993</v>
    <v>44405036.43</v>
    <v>UBSCMCIComCrExAgSFUCITSETFUSDa</v>
    <v>81.239999999999995</v>
    <v>83.7</v>
    <v>76.569999999999993</v>
    <v>UBF6</v>
    <v>UBSCMCIComCrExAgSFUCITSETFUSDa (XETR:UBF6)</v>
    <v>373</v>
  </rv>
  <rv s="1">
    <v>106</v>
  </rv>
  <rv s="2">
    <v>https://www.bing.com/financeapi/forcetrigger?t=btivyc&amp;q=XETR%3aUEQC&amp;form=skydnc</v>
    <v>Learn more on Bing</v>
  </rv>
  <rv s="3">
    <v>en-GB</v>
    <v>btivyc</v>
    <v>268435456</v>
    <v>1</v>
    <v>Powered by Refinitiv</v>
    <v>5</v>
    <v>UBSCMCICommCarrySFUCITSETFUSDa (XETR:UEQC)</v>
    <v>6</v>
    <v>3</v>
    <v>Finance</v>
    <v>4</v>
    <v>145.19999999999999</v>
    <v>105.08</v>
    <v>-5.3</v>
    <v>-4.7722000000000001E-2</v>
    <v>EUR</v>
    <v>Xetra</v>
    <v>XETR</v>
    <v>3.4000000000000002E-3</v>
    <v>110.38</v>
    <v>ETF</v>
    <v>46114.837326388886</v>
    <v>108</v>
    <v>105.08</v>
    <v>193594932.94</v>
    <v>UBSCMCICommCarrySFUCITSETFUSDa</v>
    <v>110.38</v>
    <v>111.06</v>
    <v>105.76</v>
    <v>UEQC</v>
    <v>UBSCMCICommCarrySFUCITSETFUSDa (XETR:UEQC)</v>
    <v>5</v>
  </rv>
  <rv s="1">
    <v>109</v>
  </rv>
  <rv s="2">
    <v>https://www.bing.com/financeapi/forcetrigger?t=ao6ha2&amp;q=XLON%3aBHMG&amp;form=skydnc</v>
    <v>Learn more on Bing</v>
  </rv>
  <rv s="11">
    <v>en-US</v>
    <v>ao6ha2</v>
    <v>268435456</v>
    <v>1</v>
    <v>Powered by Refinitiv</v>
    <v>28</v>
    <v>BH MACRO LIMITED (XLON:BHMG)</v>
    <v>29</v>
    <v>30</v>
    <v>Finance</v>
    <v>31</v>
    <v>445</v>
    <v>372.5</v>
    <v>0.13669999999999999</v>
    <v>-5.5</v>
    <v>1.6888E-2</v>
    <v>-1.3095000000000001E-2</v>
    <v>7</v>
    <v>GBp</v>
    <v>BH Macro Limited is a closed-ended investment company. The Company is organized as a feeder fund that invests all of its assets (net of short-term working capital requirements) directly in the Master Fund, a hedge fund in the form of a Cayman Islands open-ended investment company. Its investment objectives the generation of consistent long-term appreciation through active leveraged trading and investment on a global basis. The Master Fund invests in a range of instruments including debt securities and obligations (which may be below investment grade), bank loans, listed and unlisted equities, other collective investment schemes, currencies, commodities, digital assets, futures, options, warrants, swaps, and other derivative instruments. The Master Fund employs a combination of investment strategies that focus primarily on economic change and monetary policy and market inefficiencies. The Company is managed by Brevan Howard Capital Management LP.</v>
    <v>0</v>
    <v>London Stock Exchange</v>
    <v>XLON</v>
    <v>XLON</v>
    <v>PO Box 255, Trafalgar Court, Les Banques, SAINT PETER PORT, GY1 3QL GG</v>
    <v>422</v>
    <v>Collective Investments</v>
    <v>Stock</v>
    <v>46114.658645833333</v>
    <v>111</v>
    <v>414.5</v>
    <v>1334269000</v>
    <v>BH MACRO LIMITED</v>
    <v>BH MACRO LIMITED</v>
    <v>422</v>
    <v>8.1675000000000004</v>
    <v>420</v>
    <v>414.5</v>
    <v>421.5</v>
    <v>329523600</v>
    <v>BHMG</v>
    <v>BH MACRO LIMITED (XLON:BHMG)</v>
    <v>526880</v>
    <v>921170</v>
    <v>2007</v>
  </rv>
  <rv s="1">
    <v>112</v>
  </rv>
  <rv s="12">
    <fb>11.118</fb>
    <v>32</v>
  </rv>
  <rv s="12">
    <fb>111.01</fb>
    <v>32</v>
  </rv>
  <rv s="12">
    <fb>166.8528</fb>
    <v>33</v>
  </rv>
  <rv s="12">
    <fb>574.96529999999996</fb>
    <v>33</v>
  </rv>
  <rv s="12">
    <fb>20.135000000000002</fb>
    <v>32</v>
  </rv>
  <rv s="12">
    <fb>250.99440000000001</fb>
    <v>33</v>
  </rv>
  <rv s="12">
    <fb>607.3569</fb>
    <v>33</v>
  </rv>
  <rv s="12">
    <fb>68.849999999999994</fb>
    <v>32</v>
  </rv>
  <rv s="12">
    <fb>137.79239999999999</fb>
    <v>33</v>
  </rv>
  <rv s="12">
    <fb>226.54689999999999</fb>
    <v>33</v>
  </rv>
  <rv s="12">
    <fb>851.18</fb>
    <v>33</v>
  </rv>
  <rv s="12">
    <fb>51.14</fb>
    <v>32</v>
  </rv>
  <rv s="12">
    <fb>22.545000000000002</fb>
    <v>32</v>
  </rv>
  <rv s="12">
    <fb>149.52000000000001</fb>
    <v>33</v>
  </rv>
  <rv s="12">
    <fb>226.19499999999999</fb>
    <v>33</v>
  </rv>
  <rv s="12">
    <fb>2.8721000000000001</fb>
    <v>32</v>
  </rv>
  <rv s="12">
    <fb>4.6604999999999999</fb>
    <v>34</v>
  </rv>
  <rv s="12">
    <fb>88.77</fb>
    <v>34</v>
  </rv>
  <rv s="12">
    <fb>4.5881999999999996</fb>
    <v>32</v>
  </rv>
  <rv s="12">
    <fb>251.99</fb>
    <v>32</v>
  </rv>
  <rv s="12">
    <fb>261.26499999999999</fb>
    <v>33</v>
  </rv>
  <rv s="12">
    <fb>157.63</fb>
    <v>33</v>
  </rv>
  <rv s="12">
    <fb>290.14800000000002</fb>
    <v>33</v>
  </rv>
  <rv s="12">
    <fb>107.9067</fb>
    <v>33</v>
  </rv>
  <rv s="12">
    <fb>212.20699999999999</fb>
    <v>33</v>
  </rv>
  <rv s="12">
    <fb>13.09</fb>
    <v>32</v>
  </rv>
  <rv s="12">
    <fb>13.76</fb>
    <v>34</v>
  </rv>
  <rv s="12">
    <fb>23.12</fb>
    <v>34</v>
  </rv>
  <rv s="12">
    <fb>146.69999999999999</fb>
    <v>33</v>
  </rv>
  <rv s="12">
    <fb>123.82</fb>
    <v>33</v>
  </rv>
  <rv s="12">
    <fb>144.4</fb>
    <v>32</v>
  </rv>
  <rv s="12">
    <fb>350.74</fb>
    <v>32</v>
  </rv>
  <rv s="12">
    <fb>348.52</fb>
    <v>32</v>
  </rv>
  <rv s="12">
    <fb>117.13</fb>
    <v>32</v>
  </rv>
  <rv s="12">
    <fb>116.21</fb>
    <v>34</v>
  </rv>
  <rv s="12">
    <fb>1037.0181</fb>
    <v>33</v>
  </rv>
  <rv s="12">
    <fb>118.52</fb>
    <v>32</v>
  </rv>
  <rv s="12">
    <fb>137.74</fb>
    <v>32</v>
  </rv>
  <rv s="12">
    <fb>397</fb>
    <v>35</v>
  </rv>
  <rv s="12">
    <fb>11.132</fb>
    <v>32</v>
  </rv>
  <rv s="12">
    <fb>111.08499999999999</fb>
    <v>32</v>
  </rv>
  <rv s="12">
    <fb>166.35890000000001</fb>
    <v>33</v>
  </rv>
  <rv s="12">
    <fb>573.52710000000002</fb>
    <v>33</v>
  </rv>
  <rv s="12">
    <fb>20.2</fb>
    <v>32</v>
  </rv>
  <rv s="12">
    <fb>250.48269999999999</fb>
    <v>33</v>
  </rv>
  <rv s="12">
    <fb>609.44159999999999</fb>
    <v>33</v>
  </rv>
  <rv s="12">
    <fb>69.08</fb>
    <v>32</v>
  </rv>
  <rv s="12">
    <fb>135.92070000000001</fb>
    <v>33</v>
  </rv>
  <rv s="12">
    <fb>226.40450000000001</fb>
    <v>33</v>
  </rv>
  <rv s="12">
    <fb>849.65</fb>
    <v>33</v>
  </rv>
  <rv s="12">
    <fb>51.27</fb>
    <v>32</v>
  </rv>
  <rv s="12">
    <fb>22.43</fb>
    <v>32</v>
  </rv>
  <rv s="12">
    <fb>150.37</fb>
    <v>33</v>
  </rv>
  <rv s="12">
    <fb>227.69479999999999</fb>
    <v>33</v>
  </rv>
  <rv s="12">
    <fb>2.8751000000000002</fb>
    <v>32</v>
  </rv>
  <rv s="12">
    <fb>4.657</fb>
    <v>34</v>
  </rv>
  <rv s="12">
    <fb>88.81</fb>
    <v>34</v>
  </rv>
  <rv s="12">
    <fb>4.5865</fb>
    <v>32</v>
  </rv>
  <rv s="12">
    <fb>251.83</fb>
    <v>32</v>
  </rv>
  <rv s="12">
    <fb>261.07709999999997</fb>
    <v>33</v>
  </rv>
  <rv s="12">
    <fb>157.59</fb>
    <v>33</v>
  </rv>
  <rv s="12">
    <fb>290.14609999999999</fb>
    <v>33</v>
  </rv>
  <rv s="12">
    <fb>107.9834</fb>
    <v>33</v>
  </rv>
  <rv s="12">
    <fb>212.33099999999999</fb>
    <v>33</v>
  </rv>
  <rv s="12">
    <fb>12.965999999999999</fb>
    <v>32</v>
  </rv>
  <rv s="12">
    <fb>13.7</fb>
    <v>34</v>
  </rv>
  <rv s="12">
    <fb>23.02</fb>
    <v>34</v>
  </rv>
  <rv s="12">
    <fb>146.68</fb>
    <v>33</v>
  </rv>
  <rv s="12">
    <fb>123.26</fb>
    <v>33</v>
  </rv>
  <rv s="12">
    <fb>142.97999999999999</fb>
    <v>32</v>
  </rv>
  <rv s="12">
    <fb>347.1</fb>
    <v>32</v>
  </rv>
  <rv s="12">
    <fb>345</fb>
    <v>32</v>
  </rv>
  <rv s="12">
    <fb>115.92</fb>
    <v>32</v>
  </rv>
  <rv s="12">
    <fb>115.95</fb>
    <v>34</v>
  </rv>
  <rv s="12">
    <fb>1036.5517</fb>
    <v>33</v>
  </rv>
  <rv s="12">
    <fb>118.28</fb>
    <v>32</v>
  </rv>
  <rv s="12">
    <fb>137.41999999999999</fb>
    <v>32</v>
  </rv>
  <rv s="12">
    <fb>396.5</fb>
    <v>35</v>
  </rv>
  <rv s="12">
    <fb>11.128</fb>
    <v>32</v>
  </rv>
  <rv s="12">
    <fb>111.035</fb>
    <v>32</v>
  </rv>
  <rv s="12">
    <fb>165.8552</fb>
    <v>33</v>
  </rv>
  <rv s="12">
    <fb>572.65549999999996</fb>
    <v>33</v>
  </rv>
  <rv s="12">
    <fb>249.65940000000001</fb>
    <v>33</v>
  </rv>
  <rv s="12">
    <fb>606.70090000000005</fb>
    <v>33</v>
  </rv>
  <rv s="12">
    <fb>68.87</fb>
    <v>32</v>
  </rv>
  <rv s="12">
    <fb>134.7302</fb>
    <v>33</v>
  </rv>
  <rv s="12">
    <fb>225.68270000000001</fb>
    <v>33</v>
  </rv>
  <rv s="12">
    <fb>848.4</fb>
    <v>33</v>
  </rv>
  <rv s="12">
    <fb>51.35</fb>
    <v>32</v>
  </rv>
  <rv s="12">
    <fb>22.324999999999999</fb>
    <v>32</v>
  </rv>
  <rv s="12">
    <fb>150.81</fb>
    <v>33</v>
  </rv>
  <rv s="12">
    <fb>225.7997</fb>
    <v>33</v>
  </rv>
  <rv s="12">
    <fb>2.8618000000000001</fb>
    <v>32</v>
  </rv>
  <rv s="12">
    <fb>4.6589999999999998</fb>
    <v>34</v>
  </rv>
  <rv s="12">
    <fb>89.06</fb>
    <v>34</v>
  </rv>
  <rv s="12">
    <fb>4.5857000000000001</fb>
    <v>32</v>
  </rv>
  <rv s="12">
    <fb>251.87</fb>
    <v>32</v>
  </rv>
  <rv s="12">
    <fb>260.97699999999998</fb>
    <v>33</v>
  </rv>
  <rv s="12">
    <fb>157.6</fb>
    <v>33</v>
  </rv>
  <rv s="12">
    <fb>289.79989999999998</fb>
    <v>33</v>
  </rv>
  <rv s="12">
    <fb>108.0831</fb>
    <v>33</v>
  </rv>
  <rv s="12">
    <fb>212.51300000000001</fb>
    <v>33</v>
  </rv>
  <rv s="12">
    <fb>12.938000000000001</fb>
    <v>32</v>
  </rv>
  <rv s="12">
    <fb>23.13</fb>
    <v>34</v>
  </rv>
  <rv s="12">
    <fb>146.69</fb>
    <v>33</v>
  </rv>
  <rv s="12">
    <fb>123.79</fb>
    <v>33</v>
  </rv>
  <rv s="12">
    <fb>143.54</fb>
    <v>32</v>
  </rv>
  <rv s="12">
    <fb>348.58</fb>
    <v>32</v>
  </rv>
  <rv s="12">
    <fb>346.52</fb>
    <v>32</v>
  </rv>
  <rv s="12">
    <fb>116.46</fb>
    <v>32</v>
  </rv>
  <rv s="12">
    <fb>1033.0255999999999</fb>
    <v>33</v>
  </rv>
  <rv s="12">
    <fb>136.96</fb>
    <v>32</v>
  </rv>
  <rv s="12">
    <fb>11.156000000000001</fb>
    <v>32</v>
  </rv>
  <rv s="12">
    <fb>111.34</fb>
    <v>32</v>
  </rv>
  <rv s="12">
    <fb>168.1266</fb>
    <v>33</v>
  </rv>
  <rv s="12">
    <fb>580.44190000000003</fb>
    <v>33</v>
  </rv>
  <rv s="12">
    <fb>20.324999999999999</fb>
    <v>32</v>
  </rv>
  <rv s="12">
    <fb>250.5479</fb>
    <v>33</v>
  </rv>
  <rv s="12">
    <fb>609.15449999999998</fb>
    <v>33</v>
  </rv>
  <rv s="12">
    <fb>69.61</fb>
    <v>32</v>
  </rv>
  <rv s="12">
    <fb>135.97190000000001</fb>
    <v>33</v>
  </rv>
  <rv s="12">
    <fb>229.04759999999999</fb>
    <v>33</v>
  </rv>
  <rv s="12">
    <fb>860.18</fb>
    <v>33</v>
  </rv>
  <rv s="12">
    <fb>51.59</fb>
    <v>32</v>
  </rv>
  <rv s="12">
    <fb>22.375</fb>
    <v>32</v>
  </rv>
  <rv s="12">
    <fb>150.05000000000001</fb>
    <v>33</v>
  </rv>
  <rv s="12">
    <fb>227.1121</fb>
    <v>33</v>
  </rv>
  <rv s="12">
    <fb>2.8582000000000001</fb>
    <v>32</v>
  </rv>
  <rv s="12">
    <fb>4.6515000000000004</fb>
    <v>34</v>
  </rv>
  <rv s="12">
    <fb>88.58</fb>
    <v>34</v>
  </rv>
  <rv s="12">
    <fb>4.5651000000000002</fb>
    <v>32</v>
  </rv>
  <rv s="12">
    <fb>250.76</fb>
    <v>32</v>
  </rv>
  <rv s="12">
    <fb>261.41750000000002</fb>
    <v>33</v>
  </rv>
  <rv s="12">
    <fb>157.68</fb>
    <v>33</v>
  </rv>
  <rv s="12">
    <fb>290.22969999999998</fb>
    <v>33</v>
  </rv>
  <rv s="12">
    <fb>107.95740000000001</fb>
    <v>33</v>
  </rv>
  <rv s="12">
    <fb>212.41800000000001</fb>
    <v>33</v>
  </rv>
  <rv s="12">
    <fb>12.98</fb>
    <v>32</v>
  </rv>
  <rv s="12">
    <fb>13.8</fb>
    <v>34</v>
  </rv>
  <rv s="12">
    <fb>23.19</fb>
    <v>34</v>
  </rv>
  <rv s="12">
    <fb>146.51</fb>
    <v>33</v>
  </rv>
  <rv s="12">
    <fb>123.97</fb>
    <v>33</v>
  </rv>
  <rv s="12">
    <fb>143.35</fb>
    <v>32</v>
  </rv>
  <rv s="12">
    <fb>348.08</fb>
    <v>32</v>
  </rv>
  <rv s="12">
    <fb>345.86</fb>
    <v>32</v>
  </rv>
  <rv s="12">
    <fb>116.28</fb>
    <v>32</v>
  </rv>
  <rv s="12">
    <fb>115.7</fb>
    <v>34</v>
  </rv>
  <rv s="12">
    <fb>1034.8195000000001</fb>
    <v>33</v>
  </rv>
  <rv s="12">
    <fb>119.12</fb>
    <v>32</v>
  </rv>
  <rv s="12">
    <fb>137.88</fb>
    <v>32</v>
  </rv>
  <rv s="12">
    <fb>400.5</fb>
    <v>35</v>
  </rv>
  <rv s="12">
    <fb>11.202</fb>
    <v>32</v>
  </rv>
  <rv s="12">
    <fb>111.72</fb>
    <v>32</v>
  </rv>
  <rv s="12">
    <fb>168.6576</fb>
    <v>33</v>
  </rv>
  <rv s="12">
    <fb>582.16020000000003</fb>
    <v>33</v>
  </rv>
  <rv s="12">
    <fb>20.364999999999998</fb>
    <v>32</v>
  </rv>
  <rv s="12">
    <fb>251.13669999999999</fb>
    <v>33</v>
  </rv>
  <rv s="12">
    <fb>614.88139999999999</fb>
    <v>33</v>
  </rv>
  <rv s="12">
    <fb>69.67</fb>
    <v>32</v>
  </rv>
  <rv s="12">
    <fb>136.06610000000001</fb>
    <v>33</v>
  </rv>
  <rv s="12">
    <fb>229.3432</fb>
    <v>33</v>
  </rv>
  <rv s="12">
    <fb>863.22</fb>
    <v>33</v>
  </rv>
  <rv s="12">
    <fb>51.75</fb>
    <v>32</v>
  </rv>
  <rv s="12">
    <fb>22.565000000000001</fb>
    <v>32</v>
  </rv>
  <rv s="12">
    <fb>152.62</fb>
    <v>33</v>
  </rv>
  <rv s="12">
    <fb>228.35730000000001</fb>
    <v>33</v>
  </rv>
  <rv s="12">
    <fb>2.8443000000000001</fb>
    <v>32</v>
  </rv>
  <rv s="12">
    <fb>4.6219999999999999</fb>
    <v>34</v>
  </rv>
  <rv s="12">
    <fb>88.17</fb>
    <v>34</v>
  </rv>
  <rv s="12">
    <fb>4.5458999999999996</fb>
    <v>32</v>
  </rv>
  <rv s="12">
    <fb>250.03</fb>
    <v>32</v>
  </rv>
  <rv s="12">
    <fb>260.36739999999998</fb>
    <v>33</v>
  </rv>
  <rv s="12">
    <fb>157.54</fb>
    <v>33</v>
  </rv>
  <rv s="12">
    <fb>289.41489999999999</fb>
    <v>33</v>
  </rv>
  <rv s="12">
    <fb>107.8492</fb>
    <v>33</v>
  </rv>
  <rv s="12">
    <fb>212.416</fb>
    <v>33</v>
  </rv>
  <rv s="12">
    <fb>13.032</fb>
    <v>32</v>
  </rv>
  <rv s="12">
    <fb>13.89</fb>
    <v>34</v>
  </rv>
  <rv s="12">
    <fb>23.33</fb>
    <v>34</v>
  </rv>
  <rv s="12">
    <fb>146.27000000000001</fb>
    <v>33</v>
  </rv>
  <rv s="12">
    <fb>124</fb>
    <v>33</v>
  </rv>
  <rv s="12">
    <fb>143.65</fb>
    <v>32</v>
  </rv>
  <rv s="12">
    <fb>348.82</fb>
    <v>32</v>
  </rv>
  <rv s="12">
    <fb>346.62</fb>
    <v>32</v>
  </rv>
  <rv s="12">
    <fb>116.48</fb>
    <v>32</v>
  </rv>
  <rv s="12">
    <fb>115.65</fb>
    <v>34</v>
  </rv>
  <rv s="12">
    <fb>1034.8196</fb>
    <v>33</v>
  </rv>
  <rv s="12">
    <fb>135.52000000000001</fb>
    <v>32</v>
  </rv>
  <rv s="12">
    <fb>401</fb>
    <v>35</v>
  </rv>
  <rv s="12">
    <fb>11.18</fb>
    <v>32</v>
  </rv>
  <rv s="12">
    <fb>111.52500000000001</fb>
    <v>32</v>
  </rv>
  <rv s="12">
    <fb>168.12119999999999</fb>
    <v>33</v>
  </rv>
  <rv s="12">
    <fb>580.56110000000001</fb>
    <v>33</v>
  </rv>
  <rv s="12">
    <fb>20.574999999999999</fb>
    <v>32</v>
  </rv>
  <rv s="12">
    <fb>250.0247</fb>
    <v>33</v>
  </rv>
  <rv s="12">
    <fb>611.61900000000003</fb>
    <v>33</v>
  </rv>
  <rv s="12">
    <fb>70.290000000000006</fb>
    <v>32</v>
  </rv>
  <rv s="12">
    <fb>134.82400000000001</fb>
    <v>33</v>
  </rv>
  <rv s="12">
    <fb>227.95779999999999</fb>
    <v>33</v>
  </rv>
  <rv s="12">
    <fb>857.59</fb>
    <v>33</v>
  </rv>
  <rv s="12">
    <fb>22.465</fb>
    <v>32</v>
  </rv>
  <rv s="12">
    <fb>153.08000000000001</fb>
    <v>33</v>
  </rv>
  <rv s="12">
    <fb>228.6482</fb>
    <v>33</v>
  </rv>
  <rv s="12">
    <fb>2.8365999999999998</fb>
    <v>32</v>
  </rv>
  <rv s="12">
    <fb>4.5999999999999996</fb>
    <v>34</v>
  </rv>
  <rv s="12">
    <fb>87.88</fb>
    <v>34</v>
  </rv>
  <rv s="12">
    <fb>4.5229999999999997</fb>
    <v>32</v>
  </rv>
  <rv s="12">
    <fb>248.8</fb>
    <v>32</v>
  </rv>
  <rv s="12">
    <fb>259.31909999999999</fb>
    <v>33</v>
  </rv>
  <rv s="12">
    <fb>157.37</fb>
    <v>33</v>
  </rv>
  <rv s="12">
    <fb>288.23</fb>
    <v>33</v>
  </rv>
  <rv s="12">
    <fb>107.6236</fb>
    <v>33</v>
  </rv>
  <rv s="12">
    <fb>212.209</fb>
    <v>33</v>
  </rv>
  <rv s="12">
    <fb>12.936</fb>
    <v>32</v>
  </rv>
  <rv s="12">
    <fb>13.72</fb>
    <v>34</v>
  </rv>
  <rv s="12">
    <fb>23.04</fb>
    <v>34</v>
  </rv>
  <rv s="12">
    <fb>146.07</fb>
    <v>33</v>
  </rv>
  <rv s="12">
    <fb>123.49</fb>
    <v>33</v>
  </rv>
  <rv s="12">
    <fb>143.1</fb>
    <v>32</v>
  </rv>
  <rv s="12">
    <fb>347.42</fb>
    <v>32</v>
  </rv>
  <rv s="12">
    <fb>345.24</fb>
    <v>32</v>
  </rv>
  <rv s="12">
    <fb>116.03</fb>
    <v>32</v>
  </rv>
  <rv s="12">
    <fb>115.74</fb>
    <v>34</v>
  </rv>
  <rv s="12">
    <fb>1032.8375000000001</fb>
    <v>33</v>
  </rv>
  <rv s="12">
    <fb>118.64</fb>
    <v>32</v>
  </rv>
  <rv s="12">
    <fb>137.52000000000001</fb>
    <v>32</v>
  </rv>
  <rv s="12">
    <fb>401.5</fb>
    <v>35</v>
  </rv>
  <rv s="12">
    <fb>11.192</fb>
    <v>32</v>
  </rv>
  <rv s="12">
    <fb>111.655</fb>
    <v>32</v>
  </rv>
  <rv s="12">
    <fb>167.06809999999999</fb>
    <v>33</v>
  </rv>
  <rv s="12">
    <fb>576.44380000000001</fb>
    <v>33</v>
  </rv>
  <rv s="12">
    <fb>20.565000000000001</fb>
    <v>32</v>
  </rv>
  <rv s="12">
    <fb>249.60079999999999</fb>
    <v>33</v>
  </rv>
  <rv s="12">
    <fb>606.63739999999996</fb>
    <v>33</v>
  </rv>
  <rv s="12">
    <fb>70.63</fb>
    <v>32</v>
  </rv>
  <rv s="12">
    <fb>134.4547</fb>
    <v>33</v>
  </rv>
  <rv s="12">
    <fb>226.11840000000001</fb>
    <v>33</v>
  </rv>
  <rv s="12">
    <fb>851.13</fb>
    <v>33</v>
  </rv>
  <rv s="12">
    <fb>51.97</fb>
    <v>32</v>
  </rv>
  <rv s="12">
    <fb>22.37</fb>
    <v>32</v>
  </rv>
  <rv s="12">
    <fb>151.26</fb>
    <v>33</v>
  </rv>
  <rv s="12">
    <fb>225.9631</fb>
    <v>33</v>
  </rv>
  <rv s="12">
    <fb>2.8447</fb>
    <v>32</v>
  </rv>
  <rv s="12">
    <fb>4.6210000000000004</fb>
    <v>34</v>
  </rv>
  <rv s="12">
    <fb>87.97</fb>
    <v>34</v>
  </rv>
  <rv s="12">
    <fb>4.5366999999999997</fb>
    <v>32</v>
  </rv>
  <rv s="12">
    <fb>249.57</fb>
    <v>32</v>
  </rv>
  <rv s="12">
    <fb>258.9853</fb>
    <v>33</v>
  </rv>
  <rv s="12">
    <fb>157.4</fb>
    <v>33</v>
  </rv>
  <rv s="12">
    <fb>287.73790000000002</fb>
    <v>33</v>
  </rv>
  <rv s="12">
    <fb>107.61</fb>
    <v>33</v>
  </rv>
  <rv s="12">
    <fb>212.05699999999999</fb>
    <v>33</v>
  </rv>
  <rv s="12">
    <fb>12.858000000000001</fb>
    <v>32</v>
  </rv>
  <rv s="12">
    <fb>13.68</fb>
    <v>34</v>
  </rv>
  <rv s="12">
    <fb>22.99</fb>
    <v>34</v>
  </rv>
  <rv s="12">
    <fb>146.11000000000001</fb>
    <v>33</v>
  </rv>
  <rv s="12">
    <fb>123.48</fb>
    <v>33</v>
  </rv>
  <rv s="12">
    <fb>143.59</fb>
    <v>32</v>
  </rv>
  <rv s="12">
    <fb>348.62</fb>
    <v>32</v>
  </rv>
  <rv s="12">
    <fb>346.6</fb>
    <v>32</v>
  </rv>
  <rv s="12">
    <fb>116.42</fb>
    <v>32</v>
  </rv>
  <rv s="12">
    <fb>115.75</fb>
    <v>34</v>
  </rv>
  <rv s="12">
    <fb>1032.5379</fb>
    <v>33</v>
  </rv>
  <rv s="12">
    <fb>119.84</fb>
    <v>32</v>
  </rv>
  <rv s="12">
    <fb>138.28</fb>
    <v>32</v>
  </rv>
  <rv s="12">
    <fb>11.172000000000001</fb>
    <v>32</v>
  </rv>
  <rv s="12">
    <fb>111.39</fb>
    <v>32</v>
  </rv>
  <rv s="12">
    <fb>167.1397</fb>
    <v>33</v>
  </rv>
  <rv s="12">
    <fb>576.94820000000004</fb>
    <v>33</v>
  </rv>
  <rv s="12">
    <fb>20.38</fb>
    <v>32</v>
  </rv>
  <rv s="12">
    <fb>249.3749</fb>
    <v>33</v>
  </rv>
  <rv s="12">
    <fb>609.95140000000004</fb>
    <v>33</v>
  </rv>
  <rv s="12">
    <fb>70.5</fb>
    <v>32</v>
  </rv>
  <rv s="12">
    <fb>134.76560000000001</fb>
    <v>33</v>
  </rv>
  <rv s="12">
    <fb>226.5949</fb>
    <v>33</v>
  </rv>
  <rv s="12">
    <fb>854.37</fb>
    <v>33</v>
  </rv>
  <rv s="12">
    <fb>52.12</fb>
    <v>32</v>
  </rv>
  <rv s="12">
    <fb>150.94999999999999</fb>
    <v>33</v>
  </rv>
  <rv s="12">
    <fb>225.52809999999999</fb>
    <v>33</v>
  </rv>
  <rv s="12">
    <fb>2.8529</fb>
    <v>32</v>
  </rv>
  <rv s="12">
    <fb>4.6304999999999996</fb>
    <v>34</v>
  </rv>
  <rv s="12">
    <fb>88.31</fb>
    <v>34</v>
  </rv>
  <rv s="12">
    <fb>4.5358000000000001</fb>
    <v>32</v>
  </rv>
  <rv s="12">
    <fb>249.63</fb>
    <v>32</v>
  </rv>
  <rv s="12">
    <fb>258.24720000000002</fb>
    <v>33</v>
  </rv>
  <rv s="12">
    <fb>157.22999999999999</fb>
    <v>33</v>
  </rv>
  <rv s="12">
    <fb>287.02269999999999</fb>
    <v>33</v>
  </rv>
  <rv s="12">
    <fb>107.6455</fb>
    <v>33</v>
  </rv>
  <rv s="12">
    <fb>212.19499999999999</fb>
    <v>33</v>
  </rv>
  <rv s="12">
    <fb>12.837999999999999</fb>
    <v>32</v>
  </rv>
  <rv s="12">
    <fb>13.78</fb>
    <v>34</v>
  </rv>
  <rv s="12">
    <fb>145.87</fb>
    <v>33</v>
  </rv>
  <rv s="12">
    <fb>123.16</fb>
    <v>33</v>
  </rv>
  <rv s="12">
    <fb>142.97</fb>
    <v>32</v>
  </rv>
  <rv s="12">
    <fb>347.12</fb>
    <v>32</v>
  </rv>
  <rv s="12">
    <fb>345.02</fb>
    <v>32</v>
  </rv>
  <rv s="12">
    <fb>115.96</fb>
    <v>32</v>
  </rv>
  <rv s="12">
    <fb>115.54</fb>
    <v>34</v>
  </rv>
  <rv s="12">
    <fb>1031.9774</fb>
    <v>33</v>
  </rv>
  <rv s="12">
    <fb>121.42</fb>
    <v>32</v>
  </rv>
  <rv s="12">
    <fb>139.24</fb>
    <v>32</v>
  </rv>
  <rv s="12">
    <fb>11.122</fb>
    <v>32</v>
  </rv>
  <rv s="12">
    <fb>110.98</fb>
    <v>32</v>
  </rv>
  <rv s="12">
    <fb>168.06010000000001</fb>
    <v>33</v>
  </rv>
  <rv s="12">
    <fb>580.55460000000005</fb>
    <v>33</v>
  </rv>
  <rv s="12">
    <fb>20.61</fb>
    <v>32</v>
  </rv>
  <rv s="12">
    <fb>252.11160000000001</fb>
    <v>33</v>
  </rv>
  <rv s="12">
    <fb>616.16549999999995</fb>
    <v>33</v>
  </rv>
  <rv s="12">
    <fb>69.91</fb>
    <v>32</v>
  </rv>
  <rv s="12">
    <fb>136.12129999999999</fb>
    <v>33</v>
  </rv>
  <rv s="12">
    <fb>227.91849999999999</fb>
    <v>33</v>
  </rv>
  <rv s="12">
    <fb>857.03</fb>
    <v>33</v>
  </rv>
  <rv s="12">
    <fb>52.25</fb>
    <v>32</v>
  </rv>
  <rv s="12">
    <fb>22.385000000000002</fb>
    <v>32</v>
  </rv>
  <rv s="12">
    <fb>147.77000000000001</fb>
    <v>33</v>
  </rv>
  <rv s="12">
    <fb>223.10249999999999</fb>
    <v>33</v>
  </rv>
  <rv s="12">
    <fb>2.7696000000000001</fb>
    <v>32</v>
  </rv>
  <rv s="12">
    <fb>4.6449999999999996</fb>
    <v>34</v>
  </rv>
  <rv s="12">
    <fb>88.19</fb>
    <v>34</v>
  </rv>
  <rv s="12">
    <fb>4.5419</fb>
    <v>32</v>
  </rv>
  <rv s="12">
    <fb>250.01</fb>
    <v>32</v>
  </rv>
  <rv s="12">
    <fb>259.57859999999999</fb>
    <v>33</v>
  </rv>
  <rv s="12">
    <fb>157.44999999999999</fb>
    <v>33</v>
  </rv>
  <rv s="12">
    <fb>288.6309</fb>
    <v>33</v>
  </rv>
  <rv s="12">
    <fb>107.73220000000001</fb>
    <v>33</v>
  </rv>
  <rv s="12">
    <fb>212.28399999999999</fb>
    <v>33</v>
  </rv>
  <rv s="12">
    <fb>12.77</fb>
    <v>32</v>
  </rv>
  <rv s="12">
    <fb>13.77</fb>
    <v>34</v>
  </rv>
  <rv s="12">
    <fb>23.11</fb>
    <v>34</v>
  </rv>
  <rv s="12">
    <fb>146.16</fb>
    <v>33</v>
  </rv>
  <rv s="12">
    <fb>123.66</fb>
    <v>33</v>
  </rv>
  <rv s="12">
    <fb>143.69</fb>
    <v>32</v>
  </rv>
  <rv s="12">
    <fb>348.9</fb>
    <v>32</v>
  </rv>
  <rv s="12">
    <fb>346.7</fb>
    <v>32</v>
  </rv>
  <rv s="12">
    <fb>116.56</fb>
    <v>32</v>
  </rv>
  <rv s="12">
    <fb>115.34</fb>
    <v>34</v>
  </rv>
  <rv s="12">
    <fb>1032.1856</fb>
    <v>33</v>
  </rv>
  <rv s="12">
    <fb>121.98</fb>
    <v>32</v>
  </rv>
  <rv s="12">
    <fb>138.84</fb>
    <v>32</v>
  </rv>
  <rv s="12">
    <fb>402.5</fb>
    <v>35</v>
  </rv>
  <rv s="12">
    <fb>11.055999999999999</fb>
    <v>32</v>
  </rv>
  <rv s="12">
    <fb>110.31</fb>
    <v>32</v>
  </rv>
  <rv s="12">
    <fb>167.91909999999999</fb>
    <v>33</v>
  </rv>
  <rv s="12">
    <fb>579.34960000000001</fb>
    <v>33</v>
  </rv>
  <rv s="12">
    <fb>20.635000000000002</fb>
    <v>32</v>
  </rv>
  <rv s="12">
    <fb>251.2216</fb>
    <v>33</v>
  </rv>
  <rv s="12">
    <fb>619.56989999999996</fb>
    <v>33</v>
  </rv>
  <rv s="12">
    <fb>68.709999999999994</fb>
    <v>32</v>
  </rv>
  <rv s="12">
    <fb>136.7989</fb>
    <v>33</v>
  </rv>
  <rv s="12">
    <fb>228.03880000000001</fb>
    <v>33</v>
  </rv>
  <rv s="12">
    <fb>858.53</fb>
    <v>33</v>
  </rv>
  <rv s="12">
    <fb>51.95</fb>
    <v>32</v>
  </rv>
  <rv s="12">
    <fb>22.215</fb>
    <v>32</v>
  </rv>
  <rv s="12">
    <fb>151.38999999999999</fb>
    <v>33</v>
  </rv>
  <rv s="12">
    <fb>226.1534</fb>
    <v>33</v>
  </rv>
  <rv s="12">
    <fb>2.7309999999999999</fb>
    <v>32</v>
  </rv>
  <rv s="12">
    <fb>4.5720000000000001</fb>
    <v>34</v>
  </rv>
  <rv s="12">
    <fb>87.34</fb>
    <v>34</v>
  </rv>
  <rv s="12">
    <fb>4.5159000000000002</fb>
    <v>32</v>
  </rv>
  <rv s="12">
    <fb>248.51</fb>
    <v>32</v>
  </rv>
  <rv s="12">
    <fb>259.57769999999999</fb>
    <v>33</v>
  </rv>
  <rv s="12">
    <fb>288.82170000000002</fb>
    <v>33</v>
  </rv>
  <rv s="12">
    <fb>107.6159</fb>
    <v>33</v>
  </rv>
  <rv s="12">
    <fb>212.16800000000001</fb>
    <v>33</v>
  </rv>
  <rv s="12">
    <fb>12.704000000000001</fb>
    <v>32</v>
  </rv>
  <rv s="12">
    <fb>13.63</fb>
    <v>34</v>
  </rv>
  <rv s="12">
    <fb>22.92</fb>
    <v>34</v>
  </rv>
  <rv s="12">
    <fb>146.09</fb>
    <v>33</v>
  </rv>
  <rv s="12">
    <fb>123.46</fb>
    <v>33</v>
  </rv>
  <rv s="12">
    <fb>144.57</fb>
    <v>32</v>
  </rv>
  <rv s="12">
    <fb>351.12</fb>
    <v>32</v>
  </rv>
  <rv s="12">
    <fb>348.86</fb>
    <v>32</v>
  </rv>
  <rv s="12">
    <fb>117.29</fb>
    <v>32</v>
  </rv>
  <rv s="12">
    <fb>115.56</fb>
    <v>34</v>
  </rv>
  <rv s="12">
    <fb>1028.7147</fb>
    <v>33</v>
  </rv>
  <rv s="12">
    <fb>122.64</fb>
    <v>32</v>
  </rv>
  <rv s="12">
    <fb>139.38</fb>
    <v>32</v>
  </rv>
  <rv s="12">
    <fb>403</fb>
    <v>35</v>
  </rv>
  <rv s="12">
    <fb>11.074</fb>
    <v>32</v>
  </rv>
  <rv s="12">
    <fb>110.45</fb>
    <v>32</v>
  </rv>
  <rv s="12">
    <fb>168.23390000000001</fb>
    <v>33</v>
  </rv>
  <rv s="12">
    <fb>580.38430000000005</fb>
    <v>33</v>
  </rv>
  <rv s="12">
    <fb>20.465</fb>
    <v>32</v>
  </rv>
  <rv s="12">
    <fb>251.75460000000001</fb>
    <v>33</v>
  </rv>
  <rv s="12">
    <fb>617.45000000000005</fb>
    <v>33</v>
  </rv>
  <rv s="12">
    <fb>69</fb>
    <v>32</v>
  </rv>
  <rv s="12">
    <fb>136.01599999999999</fb>
    <v>33</v>
  </rv>
  <rv s="12">
    <fb>228.39349999999999</fb>
    <v>33</v>
  </rv>
  <rv s="12">
    <fb>861.47</fb>
    <v>33</v>
  </rv>
  <rv s="12">
    <fb>52.08</fb>
    <v>32</v>
  </rv>
  <rv s="12">
    <fb>149.49</fb>
    <v>33</v>
  </rv>
  <rv s="12">
    <fb>223.5325</fb>
    <v>33</v>
  </rv>
  <rv s="12">
    <fb>2.7406999999999999</fb>
    <v>32</v>
  </rv>
  <rv s="12">
    <fb>4.6014999999999997</fb>
    <v>34</v>
  </rv>
  <rv s="12">
    <fb>87.4</fb>
    <v>34</v>
  </rv>
  <rv s="12">
    <fb>4.5307000000000004</fb>
    <v>32</v>
  </rv>
  <rv s="12">
    <fb>249.46</fb>
    <v>32</v>
  </rv>
  <rv s="12">
    <fb>260.50850000000003</fb>
    <v>33</v>
  </rv>
  <rv s="12">
    <fb>157.66</fb>
    <v>33</v>
  </rv>
  <rv s="12">
    <fb>289.60430000000002</fb>
    <v>33</v>
  </rv>
  <rv s="12">
    <fb>107.6866</fb>
    <v>33</v>
  </rv>
  <rv s="12">
    <fb>212.29499999999999</fb>
    <v>33</v>
  </rv>
  <rv s="12">
    <fb>12.592000000000001</fb>
    <v>32</v>
  </rv>
  <rv s="12">
    <fb>13.57</fb>
    <v>34</v>
  </rv>
  <rv s="12">
    <fb>22.81</fb>
    <v>34</v>
  </rv>
  <rv s="12">
    <fb>146.36000000000001</fb>
    <v>33</v>
  </rv>
  <rv s="12">
    <fb>123.56</fb>
    <v>33</v>
  </rv>
  <rv s="12">
    <fb>144.74</fb>
    <v>32</v>
  </rv>
  <rv s="12">
    <fb>351.5</fb>
    <v>32</v>
  </rv>
  <rv s="12">
    <fb>349.3</fb>
    <v>32</v>
  </rv>
  <rv s="12">
    <fb>117.38</fb>
    <v>32</v>
  </rv>
  <rv s="12">
    <fb>115.52</fb>
    <v>34</v>
  </rv>
  <rv s="12">
    <fb>1029.6324</fb>
    <v>33</v>
  </rv>
  <rv s="12">
    <fb>122.76</fb>
    <v>32</v>
  </rv>
  <rv s="12">
    <fb>139.62</fb>
    <v>32</v>
  </rv>
  <rv s="12">
    <fb>10.986000000000001</fb>
    <v>32</v>
  </rv>
  <rv s="12">
    <fb>109.735</fb>
    <v>32</v>
  </rv>
  <rv s="12">
    <fb>167.17689999999999</fb>
    <v>33</v>
  </rv>
  <rv s="12">
    <fb>577.3143</fb>
    <v>33</v>
  </rv>
  <rv s="12">
    <fb>251.72020000000001</fb>
    <v>33</v>
  </rv>
  <rv s="12">
    <fb>613.67219999999998</fb>
    <v>33</v>
  </rv>
  <rv s="12">
    <fb>68.3</fb>
    <v>32</v>
  </rv>
  <rv s="12">
    <fb>135.64959999999999</fb>
    <v>33</v>
  </rv>
  <rv s="12">
    <fb>227.68360000000001</fb>
    <v>33</v>
  </rv>
  <rv s="12">
    <fb>857.61</fb>
    <v>33</v>
  </rv>
  <rv s="12">
    <fb>51.74</fb>
    <v>32</v>
  </rv>
  <rv s="12">
    <fb>21.805</fb>
    <v>32</v>
  </rv>
  <rv s="12">
    <fb>147.35</fb>
    <v>33</v>
  </rv>
  <rv s="12">
    <fb>220.29859999999999</fb>
    <v>33</v>
  </rv>
  <rv s="12">
    <fb>2.7376999999999998</fb>
    <v>32</v>
  </rv>
  <rv s="12">
    <fb>4.5366</fb>
    <v>32</v>
  </rv>
  <rv s="12">
    <fb>249.98</fb>
    <v>32</v>
  </rv>
  <rv s="12">
    <fb>260.52600000000001</fb>
    <v>33</v>
  </rv>
  <rv s="12">
    <fb>157.71</fb>
    <v>33</v>
  </rv>
  <rv s="12">
    <fb>289.60930000000002</fb>
    <v>33</v>
  </rv>
  <rv s="12">
    <fb>107.7718</fb>
    <v>33</v>
  </rv>
  <rv s="12">
    <fb>212.32599999999999</fb>
    <v>33</v>
  </rv>
  <rv s="12">
    <fb>12.476000000000001</fb>
    <v>32</v>
  </rv>
  <rv s="12">
    <fb>13.44</fb>
    <v>34</v>
  </rv>
  <rv s="12">
    <fb>22.58</fb>
    <v>34</v>
  </rv>
  <rv s="12">
    <fb>146.46</fb>
    <v>33</v>
  </rv>
  <rv s="12">
    <fb>123.21</fb>
    <v>33</v>
  </rv>
  <rv s="12">
    <fb>144.88</fb>
    <v>32</v>
  </rv>
  <rv s="12">
    <fb>351.78</fb>
    <v>32</v>
  </rv>
  <rv s="12">
    <fb>349.48</fb>
    <v>32</v>
  </rv>
  <rv s="12">
    <fb>117.5</fb>
    <v>32</v>
  </rv>
  <rv s="12">
    <fb>115.63</fb>
    <v>34</v>
  </rv>
  <rv s="12">
    <fb>1029.7501999999999</fb>
    <v>33</v>
  </rv>
  <rv s="12">
    <fb>123.94</fb>
    <v>32</v>
  </rv>
  <rv s="12">
    <fb>140.16</fb>
    <v>32</v>
  </rv>
  <rv s="12">
    <fb>399</fb>
    <v>35</v>
  </rv>
  <rv s="12">
    <fb>10.92</fb>
    <v>32</v>
  </rv>
  <rv s="12">
    <fb>109.265</fb>
    <v>32</v>
  </rv>
  <rv s="12">
    <fb>166.17150000000001</fb>
    <v>33</v>
  </rv>
  <rv s="12">
    <fb>573.38549999999998</fb>
    <v>33</v>
  </rv>
  <rv s="12">
    <fb>20.274999999999999</fb>
    <v>32</v>
  </rv>
  <rv s="12">
    <fb>252.01410000000001</fb>
    <v>33</v>
  </rv>
  <rv s="12">
    <fb>613.59119999999996</fb>
    <v>33</v>
  </rv>
  <rv s="12">
    <fb>67.459999999999994</fb>
    <v>32</v>
  </rv>
  <rv s="12">
    <fb>135.11080000000001</fb>
    <v>33</v>
  </rv>
  <rv s="12">
    <fb>226.16480000000001</fb>
    <v>33</v>
  </rv>
  <rv s="12">
    <fb>850.62</fb>
    <v>33</v>
  </rv>
  <rv s="12">
    <fb>51.62</fb>
    <v>32</v>
  </rv>
  <rv s="12">
    <fb>21.8</fb>
    <v>32</v>
  </rv>
  <rv s="12">
    <fb>148.06</fb>
    <v>33</v>
  </rv>
  <rv s="12">
    <fb>221.25919999999999</fb>
    <v>33</v>
  </rv>
  <rv s="12">
    <fb>2.7425000000000002</fb>
    <v>32</v>
  </rv>
  <rv s="12">
    <fb>4.6085000000000003</fb>
    <v>34</v>
  </rv>
  <rv s="12">
    <fb>87.8</fb>
    <v>34</v>
  </rv>
  <rv s="12">
    <fb>4.5232999999999999</fb>
    <v>32</v>
  </rv>
  <rv s="12">
    <fb>249.07</fb>
    <v>32</v>
  </rv>
  <rv s="12">
    <fb>260.52280000000002</fb>
    <v>33</v>
  </rv>
  <rv s="12">
    <fb>157.79</fb>
    <v>33</v>
  </rv>
  <rv s="12">
    <fb>289.52780000000001</fb>
    <v>33</v>
  </rv>
  <rv s="12">
    <fb>107.7439</fb>
    <v>33</v>
  </rv>
  <rv s="12">
    <fb>212.315</fb>
    <v>33</v>
  </rv>
  <rv s="12">
    <fb>12.548</fb>
    <v>32</v>
  </rv>
  <rv s="12">
    <fb>13.6</fb>
    <v>34</v>
  </rv>
  <rv s="12">
    <fb>22.85</fb>
    <v>34</v>
  </rv>
  <rv s="12">
    <fb>146.44</fb>
    <v>33</v>
  </rv>
  <rv s="12">
    <fb>123.18</fb>
    <v>33</v>
  </rv>
  <rv s="12">
    <fb>145.88999999999999</fb>
    <v>32</v>
  </rv>
  <rv s="12">
    <fb>354.3</fb>
    <v>32</v>
  </rv>
  <rv s="12">
    <fb>351.98</fb>
    <v>32</v>
  </rv>
  <rv s="12">
    <fb>118.31</fb>
    <v>32</v>
  </rv>
  <rv s="12">
    <fb>116.09</fb>
    <v>34</v>
  </rv>
  <rv s="12">
    <fb>1029.6428000000001</fb>
    <v>33</v>
  </rv>
  <rv s="12">
    <fb>123.6</fb>
    <v>32</v>
  </rv>
  <rv s="12">
    <fb>140.12</fb>
    <v>32</v>
  </rv>
  <rv s="12">
    <fb>397.5</fb>
    <v>35</v>
  </rv>
  <rv s="12">
    <fb>11.071999999999999</fb>
    <v>32</v>
  </rv>
  <rv s="12">
    <fb>110.47499999999999</fb>
    <v>32</v>
  </rv>
  <rv s="12">
    <fb>167.9607</fb>
    <v>33</v>
  </rv>
  <rv s="12">
    <fb>579.54880000000003</fb>
    <v>33</v>
  </rv>
  <rv s="12">
    <fb>20.5</fb>
    <v>32</v>
  </rv>
  <rv s="12">
    <fb>254.71</fb>
    <v>33</v>
  </rv>
  <rv s="12">
    <fb>616.06579999999997</fb>
    <v>33</v>
  </rv>
  <rv s="12">
    <fb>68.62</fb>
    <v>32</v>
  </rv>
  <rv s="12">
    <fb>136.48589999999999</fb>
    <v>33</v>
  </rv>
  <rv s="12">
    <fb>228.71690000000001</fb>
    <v>33</v>
  </rv>
  <rv s="12">
    <fb>859.55</fb>
    <v>33</v>
  </rv>
  <rv s="12">
    <fb>52.04</fb>
    <v>32</v>
  </rv>
  <rv s="12">
    <fb>22.11</fb>
    <v>32</v>
  </rv>
  <rv s="12">
    <fb>147.93</fb>
    <v>33</v>
  </rv>
  <rv s="12">
    <fb>221.26650000000001</fb>
    <v>33</v>
  </rv>
  <rv s="12">
    <fb>2.7684000000000002</fb>
    <v>32</v>
  </rv>
  <rv s="12">
    <fb>4.6364999999999998</fb>
    <v>34</v>
  </rv>
  <rv s="12">
    <fb>88.22</fb>
    <v>34</v>
  </rv>
  <rv s="12">
    <fb>4.5220000000000002</fb>
    <v>32</v>
  </rv>
  <rv s="12">
    <fb>249.14</fb>
    <v>32</v>
  </rv>
  <rv s="12">
    <fb>261.0455</fb>
    <v>33</v>
  </rv>
  <rv s="12">
    <fb>157.9</fb>
    <v>33</v>
  </rv>
  <rv s="12">
    <fb>290.23790000000002</fb>
    <v>33</v>
  </rv>
  <rv s="12">
    <fb>107.8312</fb>
    <v>33</v>
  </rv>
  <rv s="12">
    <fb>212.55600000000001</fb>
    <v>33</v>
  </rv>
  <rv s="12">
    <fb>12.606</fb>
    <v>32</v>
  </rv>
  <rv s="12">
    <fb>13.52</fb>
    <v>34</v>
  </rv>
  <rv s="12">
    <fb>22.69</fb>
    <v>34</v>
  </rv>
  <rv s="12">
    <fb>146.63999999999999</fb>
    <v>33</v>
  </rv>
  <rv s="12">
    <fb>123.25</fb>
    <v>33</v>
  </rv>
  <rv s="12">
    <fb>147.71</fb>
    <v>32</v>
  </rv>
  <rv s="12">
    <fb>358.6</fb>
    <v>32</v>
  </rv>
  <rv s="12">
    <fb>356.26</fb>
    <v>32</v>
  </rv>
  <rv s="12">
    <fb>119.77</fb>
    <v>32</v>
  </rv>
  <rv s="12">
    <fb>115.43</fb>
    <v>34</v>
  </rv>
  <rv s="12">
    <fb>1029.5648000000001</fb>
    <v>33</v>
  </rv>
  <rv s="12">
    <fb>123.56</fb>
    <v>32</v>
  </rv>
  <rv s="12">
    <fb>140.19999999999999</fb>
    <v>32</v>
  </rv>
  <rv s="12">
    <fb>399.5</fb>
    <v>35</v>
  </rv>
  <rv s="12">
    <fb>11.125999999999999</fb>
    <v>32</v>
  </rv>
  <rv s="12">
    <fb>110.955</fb>
    <v>32</v>
  </rv>
  <rv s="12">
    <fb>168.44640000000001</fb>
    <v>33</v>
  </rv>
  <rv s="12">
    <fb>581.28189999999995</fb>
    <v>33</v>
  </rv>
  <rv s="12">
    <fb>20.594999999999999</fb>
    <v>32</v>
  </rv>
  <rv s="12">
    <fb>254.4836</fb>
    <v>33</v>
  </rv>
  <rv s="12">
    <fb>619.80560000000003</fb>
    <v>33</v>
  </rv>
  <rv s="12">
    <fb>69.53</fb>
    <v>32</v>
  </rv>
  <rv s="12">
    <fb>137.01769999999999</fb>
    <v>33</v>
  </rv>
  <rv s="12">
    <fb>228.68539999999999</fb>
    <v>33</v>
  </rv>
  <rv s="12">
    <fb>862.05</fb>
    <v>33</v>
  </rv>
  <rv s="12">
    <fb>52.44</fb>
    <v>32</v>
  </rv>
  <rv s="12">
    <fb>22.355</fb>
    <v>32</v>
  </rv>
  <rv s="12">
    <fb>149.05000000000001</fb>
    <v>33</v>
  </rv>
  <rv s="12">
    <fb>222.94630000000001</fb>
    <v>33</v>
  </rv>
  <rv s="12">
    <fb>2.762</fb>
    <v>32</v>
  </rv>
  <rv s="12">
    <fb>4.6150000000000002</fb>
    <v>34</v>
  </rv>
  <rv s="12">
    <fb>87.55</fb>
    <v>34</v>
  </rv>
  <rv s="12">
    <fb>4.4733999999999998</fb>
    <v>32</v>
  </rv>
  <rv s="12">
    <fb>246.22</fb>
    <v>32</v>
  </rv>
  <rv s="12">
    <fb>260.79509999999999</fb>
    <v>33</v>
  </rv>
  <rv s="12">
    <fb>157.83000000000001</fb>
    <v>33</v>
  </rv>
  <rv s="12">
    <fb>290.0222</fb>
    <v>33</v>
  </rv>
  <rv s="12">
    <fb>107.7261</fb>
    <v>33</v>
  </rv>
  <rv s="12">
    <fb>212.6</fb>
    <v>33</v>
  </rv>
  <rv s="12">
    <fb>12.612</fb>
    <v>32</v>
  </rv>
  <rv s="12">
    <fb>13.62</fb>
    <v>34</v>
  </rv>
  <rv s="12">
    <fb>123.14</fb>
    <v>33</v>
  </rv>
  <rv s="12">
    <fb>147.12</fb>
    <v>32</v>
  </rv>
  <rv s="12">
    <fb>357.18</fb>
    <v>32</v>
  </rv>
  <rv s="12">
    <fb>354.82</fb>
    <v>32</v>
  </rv>
  <rv s="12">
    <fb>119.29</fb>
    <v>32</v>
  </rv>
  <rv s="12">
    <fb>115</fb>
    <v>34</v>
  </rv>
  <rv s="12">
    <fb>1029.6907000000001</fb>
    <v>33</v>
  </rv>
  <rv s="12">
    <fb>124.5</fb>
    <v>32</v>
  </rv>
  <rv s="12">
    <fb>140.74</fb>
    <v>32</v>
  </rv>
  <rv s="12">
    <fb>11.144</fb>
    <v>32</v>
  </rv>
  <rv s="12">
    <fb>111.16500000000001</fb>
    <v>32</v>
  </rv>
  <rv s="12">
    <fb>168.869</fb>
    <v>33</v>
  </rv>
  <rv s="12">
    <fb>581.98800000000006</fb>
    <v>33</v>
  </rv>
  <rv s="12">
    <fb>20.55</fb>
    <v>32</v>
  </rv>
  <rv s="12">
    <fb>254.03059999999999</fb>
    <v>33</v>
  </rv>
  <rv s="12">
    <fb>617.01149999999996</fb>
    <v>33</v>
  </rv>
  <rv s="12">
    <fb>69.900000000000006</fb>
    <v>32</v>
  </rv>
  <rv s="12">
    <fb>137.3288</fb>
    <v>33</v>
  </rv>
  <rv s="12">
    <fb>229.57589999999999</fb>
    <v>33</v>
  </rv>
  <rv s="12">
    <fb>864.74</fb>
    <v>33</v>
  </rv>
  <rv s="12">
    <fb>52.35</fb>
    <v>32</v>
  </rv>
  <rv s="12">
    <fb>22.434999999999999</fb>
    <v>32</v>
  </rv>
  <rv s="12">
    <fb>149.75</fb>
    <v>33</v>
  </rv>
  <rv s="12">
    <fb>223.7372</fb>
    <v>33</v>
  </rv>
  <rv s="12">
    <fb>2.7464</fb>
    <v>32</v>
  </rv>
  <rv s="12">
    <fb>4.6029999999999998</fb>
    <v>34</v>
  </rv>
  <rv s="12">
    <fb>87.36</fb>
    <v>34</v>
  </rv>
  <rv s="12">
    <fb>4.4760999999999997</fb>
    <v>32</v>
  </rv>
  <rv s="12">
    <fb>246.4</fb>
    <v>32</v>
  </rv>
  <rv s="12">
    <fb>260.6918</fb>
    <v>33</v>
  </rv>
  <rv s="12">
    <fb>157.85</fb>
    <v>33</v>
  </rv>
  <rv s="12">
    <fb>289.87279999999998</fb>
    <v>33</v>
  </rv>
  <rv s="12">
    <fb>107.66160000000001</fb>
    <v>33</v>
  </rv>
  <rv s="12">
    <fb>212.66200000000001</fb>
    <v>33</v>
  </rv>
  <rv s="12">
    <fb>12.715999999999999</fb>
    <v>32</v>
  </rv>
  <rv s="12">
    <fb>13.27</fb>
    <v>34</v>
  </rv>
  <rv s="12">
    <fb>22.39</fb>
    <v>34</v>
  </rv>
  <rv s="12">
    <fb>122.73</fb>
    <v>33</v>
  </rv>
  <rv s="12">
    <fb>149.58000000000001</fb>
    <v>32</v>
  </rv>
  <rv s="12">
    <fb>363.24</fb>
    <v>32</v>
  </rv>
  <rv s="12">
    <fb>360.86</fb>
    <v>32</v>
  </rv>
  <rv s="12">
    <fb>121.29</fb>
    <v>32</v>
  </rv>
  <rv s="12">
    <fb>114.58</fb>
    <v>34</v>
  </rv>
  <rv s="12">
    <fb>1030.0961</fb>
    <v>33</v>
  </rv>
  <rv s="12">
    <fb>125</fb>
    <v>32</v>
  </rv>
  <rv s="12">
    <fb>140.84</fb>
    <v>32</v>
  </rv>
  <rv s="12">
    <fb>396</fb>
    <v>35</v>
  </rv>
  <rv s="12">
    <fb>11.15</fb>
    <v>32</v>
  </rv>
  <rv s="12">
    <fb>111.41500000000001</fb>
    <v>32</v>
  </rv>
  <rv s="12">
    <fb>169.12469999999999</fb>
    <v>33</v>
  </rv>
  <rv s="12">
    <fb>582.27099999999996</fb>
    <v>33</v>
  </rv>
  <rv s="12">
    <fb>20.535</fb>
    <v>32</v>
  </rv>
  <rv s="12">
    <fb>254.1782</fb>
    <v>33</v>
  </rv>
  <rv s="12">
    <fb>621.12559999999996</fb>
    <v>33</v>
  </rv>
  <rv s="12">
    <fb>70.13</fb>
    <v>32</v>
  </rv>
  <rv s="12">
    <fb>137.7706</fb>
    <v>33</v>
  </rv>
  <rv s="12">
    <fb>230.04249999999999</fb>
    <v>33</v>
  </rv>
  <rv s="12">
    <fb>865.64</fb>
    <v>33</v>
  </rv>
  <rv s="12">
    <fb>52.37</fb>
    <v>32</v>
  </rv>
  <rv s="12">
    <fb>22.445</fb>
    <v>32</v>
  </rv>
  <rv s="12">
    <fb>149.44999999999999</fb>
    <v>33</v>
  </rv>
  <rv s="12">
    <fb>223.1267</fb>
    <v>33</v>
  </rv>
  <rv s="12">
    <fb>2.7427000000000001</fb>
    <v>32</v>
  </rv>
  <rv s="12">
    <fb>4.609</fb>
    <v>34</v>
  </rv>
  <rv s="12">
    <fb>87.5</fb>
    <v>34</v>
  </rv>
  <rv s="12">
    <fb>4.5210999999999997</fb>
    <v>32</v>
  </rv>
  <rv s="12">
    <fb>249.03</fb>
    <v>32</v>
  </rv>
  <rv s="12">
    <fb>261.96010000000001</fb>
    <v>33</v>
  </rv>
  <rv s="12">
    <fb>158.02000000000001</fb>
    <v>33</v>
  </rv>
  <rv s="12">
    <fb>291.13240000000002</fb>
    <v>33</v>
  </rv>
  <rv s="12">
    <fb>107.73009999999999</fb>
    <v>33</v>
  </rv>
  <rv s="12">
    <fb>212.68</fb>
    <v>33</v>
  </rv>
  <rv s="12">
    <fb>12.766</fb>
    <v>32</v>
  </rv>
  <rv s="12">
    <fb>13.4</fb>
    <v>34</v>
  </rv>
  <rv s="12">
    <fb>22.64</fb>
    <v>34</v>
  </rv>
  <rv s="12">
    <fb>146.76</fb>
    <v>33</v>
  </rv>
  <rv s="12">
    <fb>123.2</fb>
    <v>33</v>
  </rv>
  <rv s="12">
    <fb>150.19</fb>
    <v>32</v>
  </rv>
  <rv s="12">
    <fb>364.82</fb>
    <v>32</v>
  </rv>
  <rv s="12">
    <fb>362.36</fb>
    <v>32</v>
  </rv>
  <rv s="12">
    <fb>121.75</fb>
    <v>32</v>
  </rv>
  <rv s="12">
    <fb>114.38</fb>
    <v>34</v>
  </rv>
  <rv s="12">
    <fb>1030.0061000000001</fb>
    <v>33</v>
  </rv>
  <rv s="12">
    <fb>123.4</fb>
    <v>32</v>
  </rv>
  <rv s="12">
    <fb>139.54</fb>
    <v>32</v>
  </rv>
  <rv s="12">
    <fb>395</fb>
    <v>35</v>
  </rv>
  <rv s="12">
    <fb>4.6154999999999999</fb>
    <v>34</v>
  </rv>
  <rv s="12">
    <fb>88.03</fb>
    <v>34</v>
  </rv>
  <rv s="12">
    <fb>13.42</fb>
    <v>34</v>
  </rv>
  <rv s="12">
    <fb>22.63</fb>
    <v>34</v>
  </rv>
  <rv s="12">
    <fb>395.5</fb>
    <v>35</v>
  </rv>
  <rv s="12">
    <fb>87.74</fb>
    <v>34</v>
  </rv>
  <rv s="12">
    <fb>13.45</fb>
    <v>34</v>
  </rv>
  <rv s="12">
    <fb>22.7</fb>
    <v>34</v>
  </rv>
  <rv s="12">
    <fb>11.212</fb>
    <v>32</v>
  </rv>
  <rv s="12">
    <fb>111.57</fb>
    <v>32</v>
  </rv>
  <rv s="12">
    <fb>170.273</fb>
    <v>33</v>
  </rv>
  <rv s="12">
    <fb>586.24469999999997</fb>
    <v>33</v>
  </rv>
  <rv s="12">
    <fb>20.36</fb>
    <v>32</v>
  </rv>
  <rv s="12">
    <fb>255.8159</fb>
    <v>33</v>
  </rv>
  <rv s="12">
    <fb>622.62710000000004</fb>
    <v>33</v>
  </rv>
  <rv s="12">
    <fb>69.94</fb>
    <v>32</v>
  </rv>
  <rv s="12">
    <fb>139.17859999999999</fb>
    <v>33</v>
  </rv>
  <rv s="12">
    <fb>231.80350000000001</fb>
    <v>33</v>
  </rv>
  <rv s="12">
    <fb>871.68</fb>
    <v>33</v>
  </rv>
  <rv s="12">
    <fb>52.66</fb>
    <v>32</v>
  </rv>
  <rv s="12">
    <fb>22.614999999999998</fb>
    <v>32</v>
  </rv>
  <rv s="12">
    <fb>151.19</fb>
    <v>33</v>
  </rv>
  <rv s="12">
    <fb>225.54140000000001</fb>
    <v>33</v>
  </rv>
  <rv s="12">
    <fb>2.7614999999999998</fb>
    <v>32</v>
  </rv>
  <rv s="12">
    <fb>4.6369999999999996</fb>
    <v>34</v>
  </rv>
  <rv s="12">
    <fb>88.07</fb>
    <v>34</v>
  </rv>
  <rv s="12">
    <fb>4.5476000000000001</fb>
    <v>32</v>
  </rv>
  <rv s="12">
    <fb>250.65</fb>
    <v>32</v>
  </rv>
  <rv s="12">
    <fb>262.76859999999999</fb>
    <v>33</v>
  </rv>
  <rv s="12">
    <fb>158.25</fb>
    <v>33</v>
  </rv>
  <rv s="12">
    <fb>291.96570000000003</fb>
    <v>33</v>
  </rv>
  <rv s="12">
    <fb>107.93389999999999</fb>
    <v>33</v>
  </rv>
  <rv s="12">
    <fb>212.88399999999999</fb>
    <v>33</v>
  </rv>
  <rv s="12">
    <fb>12.776</fb>
    <v>32</v>
  </rv>
  <rv s="12">
    <fb>13.34</fb>
    <v>34</v>
  </rv>
  <rv s="12">
    <fb>22.49</fb>
    <v>34</v>
  </rv>
  <rv s="12">
    <fb>147.01</fb>
    <v>33</v>
  </rv>
  <rv s="12">
    <fb>123.3</fb>
    <v>33</v>
  </rv>
  <rv s="12">
    <fb>146.37</fb>
    <v>32</v>
  </rv>
  <rv s="12">
    <fb>355.38</fb>
    <v>32</v>
  </rv>
  <rv s="12">
    <fb>353.1</fb>
    <v>32</v>
  </rv>
  <rv s="12">
    <fb>114.25</fb>
    <v>34</v>
  </rv>
  <rv s="12">
    <fb>1029.6599000000001</fb>
    <v>33</v>
  </rv>
  <rv s="12">
    <fb>122.88</fb>
    <v>32</v>
  </rv>
  <rv s="12">
    <fb>139.9</fb>
    <v>32</v>
  </rv>
  <rv s="12">
    <fb>11.238</fb>
    <v>32</v>
  </rv>
  <rv s="12">
    <fb>111.77500000000001</fb>
    <v>32</v>
  </rv>
  <rv s="12">
    <fb>171.16380000000001</fb>
    <v>33</v>
  </rv>
  <rv s="12">
    <fb>589.56060000000002</fb>
    <v>33</v>
  </rv>
  <rv s="12">
    <fb>20.440000000000001</fb>
    <v>32</v>
  </rv>
  <rv s="12">
    <fb>257.03179999999998</fb>
    <v>33</v>
  </rv>
  <rv s="12">
    <fb>628.27409999999998</fb>
    <v>33</v>
  </rv>
  <rv s="12">
    <fb>70.16</fb>
    <v>32</v>
  </rv>
  <rv s="12">
    <fb>139.54089999999999</fb>
    <v>33</v>
  </rv>
  <rv s="12">
    <fb>233.2088</fb>
    <v>33</v>
  </rv>
  <rv s="12">
    <fb>877.14</fb>
    <v>33</v>
  </rv>
  <rv s="12">
    <fb>52.89</fb>
    <v>32</v>
  </rv>
  <rv s="12">
    <fb>22.785</fb>
    <v>32</v>
  </rv>
  <rv s="12">
    <fb>151.34</fb>
    <v>33</v>
  </rv>
  <rv s="12">
    <fb>225.85159999999999</fb>
    <v>33</v>
  </rv>
  <rv s="12">
    <fb>2.7505000000000002</fb>
    <v>32</v>
  </rv>
  <rv s="12">
    <fb>4.6384999999999996</fb>
    <v>34</v>
  </rv>
  <rv s="12">
    <fb>87.86</fb>
    <v>34</v>
  </rv>
  <rv s="12">
    <fb>4.5365000000000002</fb>
    <v>32</v>
  </rv>
  <rv s="12">
    <fb>249.4</fb>
    <v>32</v>
  </rv>
  <rv s="12">
    <fb>262.83150000000001</fb>
    <v>33</v>
  </rv>
  <rv s="12">
    <fb>158.29</fb>
    <v>33</v>
  </rv>
  <rv s="12">
    <fb>292.18869999999998</fb>
    <v>33</v>
  </rv>
  <rv s="12">
    <fb>107.8926</fb>
    <v>33</v>
  </rv>
  <rv s="12">
    <fb>212.97200000000001</fb>
    <v>33</v>
  </rv>
  <rv s="12">
    <fb>12.89</fb>
    <v>32</v>
  </rv>
  <rv s="12">
    <fb>146.94999999999999</fb>
    <v>33</v>
  </rv>
  <rv s="12">
    <fb>123.4</fb>
    <v>33</v>
  </rv>
  <rv s="12">
    <fb>148.41999999999999</fb>
    <v>32</v>
  </rv>
  <rv s="12">
    <fb>360.46</fb>
    <v>32</v>
  </rv>
  <rv s="12">
    <fb>358.18</fb>
    <v>32</v>
  </rv>
  <rv s="12">
    <fb>120.37</fb>
    <v>32</v>
  </rv>
  <rv s="12">
    <fb>114.21</fb>
    <v>34</v>
  </rv>
  <rv s="12">
    <fb>1029.7929999999999</fb>
    <v>33</v>
  </rv>
  <rv s="12">
    <fb>122.42</fb>
    <v>32</v>
  </rv>
  <rv s="12">
    <fb>139.84</fb>
    <v>32</v>
  </rv>
  <rv s="12">
    <fb>400</fb>
    <v>35</v>
  </rv>
  <rv s="12">
    <fb>589.50469999999996</fb>
    <v>33</v>
  </rv>
  <rv s="12">
    <fb>257.03100000000001</fb>
    <v>33</v>
  </rv>
  <rv s="12">
    <fb>139.53980000000001</fb>
    <v>33</v>
  </rv>
  <rv s="12">
    <fb>226.5598</fb>
    <v>33</v>
  </rv>
  <rv s="12">
    <fb>4.6459999999999999</fb>
    <v>34</v>
  </rv>
  <rv s="12">
    <fb>87.16</fb>
    <v>34</v>
  </rv>
  <rv s="12">
    <fb>107.85129999999999</fb>
    <v>33</v>
  </rv>
  <rv s="12">
    <fb>13.25</fb>
    <v>34</v>
  </rv>
  <rv s="12">
    <fb>22.36</fb>
    <v>34</v>
  </rv>
  <rv s="12">
    <fb>114.5</fb>
    <v>34</v>
  </rv>
  <rv s="12">
    <fb>1029.2357999999999</fb>
    <v>33</v>
  </rv>
  <rv s="12">
    <fb>156.5489</fb>
    <v>33</v>
  </rv>
  <rv s="12">
    <fb>111.32</fb>
    <v>32</v>
  </rv>
  <rv s="12">
    <fb>170.5462</fb>
    <v>33</v>
  </rv>
  <rv s="12">
    <fb>587.39520000000005</fb>
    <v>33</v>
  </rv>
  <rv s="12">
    <fb>20.34</fb>
    <v>32</v>
  </rv>
  <rv s="12">
    <fb>258.34899999999999</fb>
    <v>33</v>
  </rv>
  <rv s="12">
    <fb>629.9905</fb>
    <v>33</v>
  </rv>
  <rv s="12">
    <fb>70.11</fb>
    <v>32</v>
  </rv>
  <rv s="12">
    <fb>137.61699999999999</fb>
    <v>33</v>
  </rv>
  <rv s="12">
    <fb>230.78039999999999</fb>
    <v>33</v>
  </rv>
  <rv s="12">
    <fb>866.06</fb>
    <v>33</v>
  </rv>
  <rv s="12">
    <fb>53.23</fb>
    <v>32</v>
  </rv>
  <rv s="12">
    <fb>23.21</fb>
    <v>32</v>
  </rv>
  <rv s="12">
    <fb>154.27000000000001</fb>
    <v>33</v>
  </rv>
  <rv s="12">
    <fb>230.04849999999999</fb>
    <v>33</v>
  </rv>
  <rv s="12">
    <fb>2.7378999999999998</fb>
    <v>32</v>
  </rv>
  <rv s="12">
    <fb>4.5945</fb>
    <v>34</v>
  </rv>
  <rv s="12">
    <fb>87.03</fb>
    <v>34</v>
  </rv>
  <rv s="12">
    <fb>4.4805999999999999</fb>
    <v>32</v>
  </rv>
  <rv s="12">
    <fb>246.37</fb>
    <v>32</v>
  </rv>
  <rv s="12">
    <fb>262.3528</fb>
    <v>33</v>
  </rv>
  <rv s="12">
    <fb>158.16</fb>
    <v>33</v>
  </rv>
  <rv s="12">
    <fb>291.82670000000002</fb>
    <v>33</v>
  </rv>
  <rv s="12">
    <fb>107.76009999999999</fb>
    <v>33</v>
  </rv>
  <rv s="12">
    <fb>212.947</fb>
    <v>33</v>
  </rv>
  <rv s="12">
    <fb>12.811999999999999</fb>
    <v>32</v>
  </rv>
  <rv s="12">
    <fb>13.28</fb>
    <v>34</v>
  </rv>
  <rv s="12">
    <fb>146.65</fb>
    <v>33</v>
  </rv>
  <rv s="12">
    <fb>123.12</fb>
    <v>33</v>
  </rv>
  <rv s="12">
    <fb>145.74</fb>
    <v>32</v>
  </rv>
  <rv s="12">
    <fb>353.94</fb>
    <v>32</v>
  </rv>
  <rv s="12">
    <fb>351.54</fb>
    <v>32</v>
  </rv>
  <rv s="12">
    <fb>118.22</fb>
    <v>32</v>
  </rv>
  <rv s="12">
    <fb>114.39</fb>
    <v>34</v>
  </rv>
  <rv s="12">
    <fb>1030.0997</fb>
    <v>33</v>
  </rv>
  <rv s="12">
    <fb>125.22</fb>
    <v>32</v>
  </rv>
  <rv s="12">
    <fb>141.47999999999999</fb>
    <v>32</v>
  </rv>
  <rv s="12">
    <fb>11.348000000000001</fb>
    <v>32</v>
  </rv>
  <rv s="12">
    <fb>112.745</fb>
    <v>32</v>
  </rv>
  <rv s="12">
    <fb>171.3074</fb>
    <v>33</v>
  </rv>
  <rv s="12">
    <fb>589.79899999999998</fb>
    <v>33</v>
  </rv>
  <rv s="12">
    <fb>20.695</fb>
    <v>32</v>
  </rv>
  <rv s="12">
    <fb>257.44080000000002</fb>
    <v>33</v>
  </rv>
  <rv s="12">
    <fb>630.61360000000002</fb>
    <v>33</v>
  </rv>
  <rv s="12">
    <fb>71.55</fb>
    <v>32</v>
  </rv>
  <rv s="12">
    <fb>137.0624</fb>
    <v>33</v>
  </rv>
  <rv s="12">
    <fb>231.5675</fb>
    <v>33</v>
  </rv>
  <rv s="12">
    <fb>868.7</fb>
    <v>33</v>
  </rv>
  <rv s="12">
    <fb>53.67</fb>
    <v>32</v>
  </rv>
  <rv s="12">
    <fb>23.125</fb>
    <v>32</v>
  </rv>
  <rv s="12">
    <fb>156.69999999999999</fb>
    <v>33</v>
  </rv>
  <rv s="12">
    <fb>233.39879999999999</fb>
    <v>33</v>
  </rv>
  <rv s="12">
    <fb>2.75</fb>
    <v>32</v>
  </rv>
  <rv s="12">
    <fb>87.46</fb>
    <v>34</v>
  </rv>
  <rv s="12">
    <fb>4.5030999999999999</fb>
    <v>32</v>
  </rv>
  <rv s="12">
    <fb>248.06</fb>
    <v>32</v>
  </rv>
  <rv s="12">
    <fb>261.1592</fb>
    <v>33</v>
  </rv>
  <rv s="12">
    <fb>158</fb>
    <v>33</v>
  </rv>
  <rv s="12">
    <fb>290.54020000000003</fb>
    <v>33</v>
  </rv>
  <rv s="12">
    <fb>107.8892</fb>
    <v>33</v>
  </rv>
  <rv s="12">
    <fb>213.19900000000001</fb>
    <v>33</v>
  </rv>
  <rv s="12">
    <fb>12.968</fb>
    <v>32</v>
  </rv>
  <rv s="12">
    <fb>13.53</fb>
    <v>34</v>
  </rv>
  <rv s="12">
    <fb>146.38999999999999</fb>
    <v>33</v>
  </rv>
  <rv s="12">
    <fb>123.08</fb>
    <v>33</v>
  </rv>
  <rv s="12">
    <fb>150.38999999999999</fb>
    <v>32</v>
  </rv>
  <rv s="12">
    <fb>365.22</fb>
    <v>32</v>
  </rv>
  <rv s="12">
    <fb>363.02</fb>
    <v>32</v>
  </rv>
  <rv s="12">
    <fb>113.95</fb>
    <v>34</v>
  </rv>
  <rv s="12">
    <fb>1031.8333</fb>
    <v>33</v>
  </rv>
  <rv s="12">
    <fb>125.42</fb>
    <v>32</v>
  </rv>
  <rv s="12">
    <fb>141.69999999999999</fb>
    <v>32</v>
  </rv>
  <rv s="12">
    <fb>11.394</fb>
    <v>32</v>
  </rv>
  <rv s="12">
    <fb>113.11499999999999</fb>
    <v>32</v>
  </rv>
  <rv s="12">
    <fb>20.945</fb>
    <v>32</v>
  </rv>
  <rv s="12">
    <fb>71.739999999999995</fb>
    <v>32</v>
  </rv>
  <rv s="12">
    <fb>54.11</fb>
    <v>32</v>
  </rv>
  <rv s="12">
    <fb>23.76</fb>
    <v>32</v>
  </rv>
  <rv s="12">
    <fb>2.7486999999999999</fb>
    <v>32</v>
  </rv>
  <rv s="12">
    <fb>4.5834999999999999</fb>
    <v>34</v>
  </rv>
  <rv s="12">
    <fb>87.28</fb>
    <v>34</v>
  </rv>
  <rv s="12">
    <fb>249.21</fb>
    <v>32</v>
  </rv>
  <rv s="12">
    <fb>213.334</fb>
    <v>33</v>
  </rv>
  <rv s="12">
    <fb>13.118</fb>
    <v>32</v>
  </rv>
  <rv s="12">
    <fb>13.54</fb>
    <v>34</v>
  </rv>
  <rv s="12">
    <fb>22.8</fb>
    <v>34</v>
  </rv>
  <rv s="12">
    <fb>152.16</fb>
    <v>32</v>
  </rv>
  <rv s="12">
    <fb>369.46</fb>
    <v>32</v>
  </rv>
  <rv s="12">
    <fb>367.12</fb>
    <v>32</v>
  </rv>
  <rv s="12">
    <fb>123.44</fb>
    <v>32</v>
  </rv>
  <rv s="12">
    <fb>113.9</fb>
    <v>34</v>
  </rv>
  <rv s="12">
    <fb>125.86</fb>
    <v>32</v>
  </rv>
  <rv s="12">
    <fb>11.42</fb>
    <v>32</v>
  </rv>
  <rv s="12">
    <fb>113.47499999999999</fb>
    <v>32</v>
  </rv>
  <rv s="12">
    <fb>175.1661</fb>
    <v>33</v>
  </rv>
  <rv s="12">
    <fb>603.05160000000001</fb>
    <v>33</v>
  </rv>
  <rv s="12">
    <fb>21.01</fb>
    <v>32</v>
  </rv>
  <rv s="12">
    <fb>258.81779999999998</fb>
    <v>33</v>
  </rv>
  <rv s="12">
    <fb>636.399</fb>
    <v>33</v>
  </rv>
  <rv s="12">
    <fb>72.02</fb>
    <v>32</v>
  </rv>
  <rv s="12">
    <fb>139.1447</fb>
    <v>33</v>
  </rv>
  <rv s="12">
    <fb>239.07810000000001</fb>
    <v>33</v>
  </rv>
  <rv s="12">
    <fb>898.11</fb>
    <v>33</v>
  </rv>
  <rv s="12">
    <fb>54.12</fb>
    <v>32</v>
  </rv>
  <rv s="12">
    <fb>23.675000000000001</fb>
    <v>32</v>
  </rv>
  <rv s="12">
    <fb>234.63659999999999</fb>
    <v>33</v>
  </rv>
  <rv s="12">
    <fb>2.7738</fb>
    <v>32</v>
  </rv>
  <rv s="12">
    <fb>4.6280000000000001</fb>
    <v>34</v>
  </rv>
  <rv s="12">
    <fb>87.79</fb>
    <v>34</v>
  </rv>
  <rv s="12">
    <fb>4.5575000000000001</fb>
    <v>32</v>
  </rv>
  <rv s="12">
    <fb>251.07</fb>
    <v>32</v>
  </rv>
  <rv s="12">
    <fb>263.15910000000002</fb>
    <v>33</v>
  </rv>
  <rv s="12">
    <fb>158.30000000000001</fb>
    <v>33</v>
  </rv>
  <rv s="12">
    <fb>292.66300000000001</fb>
    <v>33</v>
  </rv>
  <rv s="12">
    <fb>108.0762</fb>
    <v>33</v>
  </rv>
  <rv s="12">
    <fb>213.411</fb>
    <v>33</v>
  </rv>
  <rv s="12">
    <fb>12.988</fb>
    <v>32</v>
  </rv>
  <rv s="12">
    <fb>13.41</fb>
    <v>34</v>
  </rv>
  <rv s="12">
    <fb>22.59</fb>
    <v>34</v>
  </rv>
  <rv s="12">
    <fb>123.39</fb>
    <v>33</v>
  </rv>
  <rv s="12">
    <fb>151.37</fb>
    <v>32</v>
  </rv>
  <rv s="12">
    <fb>367.56</fb>
    <v>32</v>
  </rv>
  <rv s="12">
    <fb>365.36</fb>
    <v>32</v>
  </rv>
  <rv s="12">
    <fb>122.8</fb>
    <v>32</v>
  </rv>
  <rv s="12">
    <fb>114.34</fb>
    <v>34</v>
  </rv>
  <rv s="12">
    <fb>1033.0177000000001</fb>
    <v>33</v>
  </rv>
  <rv s="12">
    <fb>126.52</fb>
    <v>32</v>
  </rv>
  <rv s="12">
    <fb>142.28</fb>
    <v>32</v>
  </rv>
  <rv s="12">
    <fb>11.396000000000001</fb>
    <v>32</v>
  </rv>
  <rv s="12">
    <fb>113.255</fb>
    <v>32</v>
  </rv>
  <rv s="12">
    <fb>173.54239999999999</fb>
    <v>33</v>
  </rv>
  <rv s="12">
    <fb>597.03189999999995</fb>
    <v>33</v>
  </rv>
  <rv s="12">
    <fb>21.13</fb>
    <v>32</v>
  </rv>
  <rv s="12">
    <fb>258.25560000000002</fb>
    <v>33</v>
  </rv>
  <rv s="12">
    <fb>633.32799999999997</fb>
    <v>33</v>
  </rv>
  <rv s="12">
    <fb>71.22</fb>
    <v>32</v>
  </rv>
  <rv s="12">
    <fb>137.74600000000001</fb>
    <v>33</v>
  </rv>
  <rv s="12">
    <fb>235.56129999999999</fb>
    <v>33</v>
  </rv>
  <rv s="12">
    <fb>885.15</fb>
    <v>33</v>
  </rv>
  <rv s="12">
    <fb>53.9</fb>
    <v>32</v>
  </rv>
  <rv s="12">
    <fb>23.53</fb>
    <v>32</v>
  </rv>
  <rv s="12">
    <fb>157.13999999999999</fb>
    <v>33</v>
  </rv>
  <rv s="12">
    <fb>234.04409999999999</fb>
    <v>33</v>
  </rv>
  <rv s="12">
    <fb>2.7703000000000002</fb>
    <v>32</v>
  </rv>
  <rv s="12">
    <fb>4.6064999999999996</fb>
    <v>34</v>
  </rv>
  <rv s="12">
    <fb>87.35</fb>
    <v>34</v>
  </rv>
  <rv s="12">
    <fb>4.5364000000000004</fb>
    <v>32</v>
  </rv>
  <rv s="12">
    <fb>250.07</fb>
    <v>32</v>
  </rv>
  <rv s="12">
    <fb>263.40230000000003</fb>
    <v>33</v>
  </rv>
  <rv s="12">
    <fb>158.31</fb>
    <v>33</v>
  </rv>
  <rv s="12">
    <fb>292.68400000000003</fb>
    <v>33</v>
  </rv>
  <rv s="12">
    <fb>107.9224</fb>
    <v>33</v>
  </rv>
  <rv s="12">
    <fb>213.40899999999999</fb>
    <v>33</v>
  </rv>
  <rv s="12">
    <fb>13.028</fb>
    <v>32</v>
  </rv>
  <rv s="12">
    <fb>13.56</fb>
    <v>34</v>
  </rv>
  <rv s="12">
    <fb>22.88</fb>
    <v>34</v>
  </rv>
  <rv s="12">
    <fb>123.47</fb>
    <v>33</v>
  </rv>
  <rv s="12">
    <fb>151.74</fb>
    <v>32</v>
  </rv>
  <rv s="12">
    <fb>368.42</fb>
    <v>32</v>
  </rv>
  <rv s="12">
    <fb>366.2</fb>
    <v>32</v>
  </rv>
  <rv s="12">
    <fb>123.06</fb>
    <v>32</v>
  </rv>
  <rv s="12">
    <fb>114.53</fb>
    <v>34</v>
  </rv>
  <rv s="12">
    <fb>1032.6586</fb>
    <v>33</v>
  </rv>
  <rv s="12">
    <fb>126.72</fb>
    <v>32</v>
  </rv>
  <rv s="12">
    <fb>142.62</fb>
    <v>32</v>
  </rv>
  <rv s="12">
    <fb>404</fb>
    <v>35</v>
  </rv>
  <rv s="12">
    <fb>11.49</fb>
    <v>32</v>
  </rv>
  <rv s="12">
    <fb>114.19</fb>
    <v>32</v>
  </rv>
  <rv s="12">
    <fb>175.5806</fb>
    <v>33</v>
  </rv>
  <rv s="12">
    <fb>603.05960000000005</fb>
    <v>33</v>
  </rv>
  <rv s="12">
    <fb>21.324999999999999</fb>
    <v>32</v>
  </rv>
  <rv s="12">
    <fb>259.5181</fb>
    <v>33</v>
  </rv>
  <rv s="12">
    <fb>639.47460000000001</fb>
    <v>33</v>
  </rv>
  <rv s="12">
    <fb>72.22</fb>
    <v>32</v>
  </rv>
  <rv s="12">
    <fb>138.74539999999999</fb>
    <v>33</v>
  </rv>
  <rv s="12">
    <fb>238.5487</fb>
    <v>33</v>
  </rv>
  <rv s="12">
    <fb>896.95</fb>
    <v>33</v>
  </rv>
  <rv s="12">
    <fb>54.69</fb>
    <v>32</v>
  </rv>
  <rv s="12">
    <fb>23.7</fb>
    <v>32</v>
  </rv>
  <rv s="12">
    <fb>156.96</fb>
    <v>33</v>
  </rv>
  <rv s="12">
    <fb>233.61199999999999</fb>
    <v>33</v>
  </rv>
  <rv s="12">
    <fb>2.7837999999999998</fb>
    <v>32</v>
  </rv>
  <rv s="12">
    <fb>4.62</fb>
    <v>34</v>
  </rv>
  <rv s="12">
    <fb>87.93</fb>
    <v>34</v>
  </rv>
  <rv s="12">
    <fb>4.5396999999999998</fb>
    <v>32</v>
  </rv>
  <rv s="12">
    <fb>250.6</fb>
    <v>32</v>
  </rv>
  <rv s="12">
    <fb>263.0025</fb>
    <v>33</v>
  </rv>
  <rv s="12">
    <fb>158.28</fb>
    <v>33</v>
  </rv>
  <rv s="12">
    <fb>292.61070000000001</fb>
    <v>33</v>
  </rv>
  <rv s="12">
    <fb>107.9415</fb>
    <v>33</v>
  </rv>
  <rv s="12">
    <fb>213.50399999999999</fb>
    <v>33</v>
  </rv>
  <rv s="12">
    <fb>13.24</fb>
    <v>32</v>
  </rv>
  <rv s="12">
    <fb>22.9</fb>
    <v>34</v>
  </rv>
  <rv s="12">
    <fb>146.31</fb>
    <v>33</v>
  </rv>
  <rv s="12">
    <fb>153.51</fb>
    <v>32</v>
  </rv>
  <rv s="12">
    <fb>372.74</fb>
    <v>32</v>
  </rv>
  <rv s="12">
    <fb>370.54</fb>
    <v>32</v>
  </rv>
  <rv s="12">
    <fb>124.54</fb>
    <v>32</v>
  </rv>
  <rv s="12">
    <fb>113.94</fb>
    <v>34</v>
  </rv>
  <rv s="12">
    <fb>1039.3853999999999</fb>
    <v>33</v>
  </rv>
  <rv s="12">
    <fb>127.14</fb>
    <v>32</v>
  </rv>
  <rv s="12">
    <fb>143</fb>
    <v>32</v>
  </rv>
  <rv s="12">
    <fb>11.502000000000001</fb>
    <v>32</v>
  </rv>
  <rv s="12">
    <fb>114.17</fb>
    <v>32</v>
  </rv>
  <rv s="12">
    <fb>175.59569999999999</fb>
    <v>33</v>
  </rv>
  <rv s="12">
    <fb>602.85329999999999</fb>
    <v>33</v>
  </rv>
  <rv s="12">
    <fb>21.375</fb>
    <v>32</v>
  </rv>
  <rv s="12">
    <fb>259.52460000000002</fb>
    <v>33</v>
  </rv>
  <rv s="12">
    <fb>640.79700000000003</fb>
    <v>33</v>
  </rv>
  <rv s="12">
    <fb>72.42</fb>
    <v>32</v>
  </rv>
  <rv s="12">
    <fb>137.59389999999999</fb>
    <v>33</v>
  </rv>
  <rv s="12">
    <fb>237.52010000000001</fb>
    <v>33</v>
  </rv>
  <rv s="12">
    <fb>892.91</fb>
    <v>33</v>
  </rv>
  <rv s="12">
    <fb>54.56</fb>
    <v>32</v>
  </rv>
  <rv s="12">
    <fb>23.875</fb>
    <v>32</v>
  </rv>
  <rv s="12">
    <fb>234.61869999999999</fb>
    <v>33</v>
  </rv>
  <rv s="12">
    <fb>2.7677</fb>
    <v>32</v>
  </rv>
  <rv s="12">
    <fb>87.67</fb>
    <v>34</v>
  </rv>
  <rv s="12">
    <fb>4.5696000000000003</fb>
    <v>32</v>
  </rv>
  <rv s="12">
    <fb>251.94</fb>
    <v>32</v>
  </rv>
  <rv s="12">
    <fb>263.70929999999998</fb>
    <v>33</v>
  </rv>
  <rv s="12">
    <fb>158.41999999999999</fb>
    <v>33</v>
  </rv>
  <rv s="12">
    <fb>293.23899999999998</fb>
    <v>33</v>
  </rv>
  <rv s="12">
    <fb>107.9666</fb>
    <v>33</v>
  </rv>
  <rv s="12">
    <fb>213.559</fb>
    <v>33</v>
  </rv>
  <rv s="12">
    <fb>13.256</fb>
    <v>32</v>
  </rv>
  <rv s="12">
    <fb>146.43</fb>
    <v>33</v>
  </rv>
  <rv s="12">
    <fb>123.76</fb>
    <v>33</v>
  </rv>
  <rv s="12">
    <fb>156.84</fb>
    <v>32</v>
  </rv>
  <rv s="12">
    <fb>380.82</fb>
    <v>32</v>
  </rv>
  <rv s="12">
    <fb>378.54</fb>
    <v>32</v>
  </rv>
  <rv s="12">
    <fb>127.19</fb>
    <v>32</v>
  </rv>
  <rv s="12">
    <fb>113.63</fb>
    <v>34</v>
  </rv>
  <rv s="12">
    <fb>1039.8643999999999</fb>
    <v>33</v>
  </rv>
  <rv s="12">
    <fb>125.68</fb>
    <v>32</v>
  </rv>
  <rv s="12">
    <fb>141.91999999999999</fb>
    <v>32</v>
  </rv>
  <rv s="12">
    <fb>11.516</fb>
    <v>32</v>
  </rv>
  <rv s="12">
    <fb>114.345</fb>
    <v>32</v>
  </rv>
  <rv s="12">
    <fb>175.4768</fb>
    <v>33</v>
  </rv>
  <rv s="12">
    <fb>602.26900000000001</fb>
    <v>33</v>
  </rv>
  <rv s="12">
    <fb>21.274999999999999</fb>
    <v>32</v>
  </rv>
  <rv s="12">
    <fb>260.6592</fb>
    <v>33</v>
  </rv>
  <rv s="12">
    <fb>641.15549999999996</fb>
    <v>33</v>
  </rv>
  <rv s="12">
    <fb>73.010000000000005</fb>
    <v>32</v>
  </rv>
  <rv s="12">
    <fb>137.01910000000001</fb>
    <v>33</v>
  </rv>
  <rv s="12">
    <fb>238.19300000000001</fb>
    <v>33</v>
  </rv>
  <rv s="12">
    <fb>891.8</fb>
    <v>33</v>
  </rv>
  <rv s="12">
    <fb>54.66</fb>
    <v>32</v>
  </rv>
  <rv s="12">
    <fb>23.945</fb>
    <v>32</v>
  </rv>
  <rv s="12">
    <fb>158.85</fb>
    <v>33</v>
  </rv>
  <rv s="12">
    <fb>236.13849999999999</fb>
    <v>33</v>
  </rv>
  <rv s="12">
    <fb>2.7774000000000001</fb>
    <v>32</v>
  </rv>
  <rv s="12">
    <fb>4.6180000000000003</fb>
    <v>34</v>
  </rv>
  <rv s="12">
    <fb>87.82</fb>
    <v>34</v>
  </rv>
  <rv s="12">
    <fb>4.5549999999999997</fb>
    <v>32</v>
  </rv>
  <rv s="12">
    <fb>251.13</fb>
    <v>32</v>
  </rv>
  <rv s="12">
    <fb>263.84280000000001</fb>
    <v>33</v>
  </rv>
  <rv s="12">
    <fb>158.51</fb>
    <v>33</v>
  </rv>
  <rv s="12">
    <fb>293.4427</fb>
    <v>33</v>
  </rv>
  <rv s="12">
    <fb>108.0243</fb>
    <v>33</v>
  </rv>
  <rv s="12">
    <fb>213.64599999999999</fb>
    <v>33</v>
  </rv>
  <rv s="12">
    <fb>13.398</fb>
    <v>32</v>
  </rv>
  <rv s="12">
    <fb>13.86</fb>
    <v>34</v>
  </rv>
  <rv s="12">
    <fb>23.37</fb>
    <v>34</v>
  </rv>
  <rv s="12">
    <fb>146.4</fb>
    <v>33</v>
  </rv>
  <rv s="12">
    <fb>123.78</fb>
    <v>33</v>
  </rv>
  <rv s="12">
    <fb>156.74</fb>
    <v>32</v>
  </rv>
  <rv s="12">
    <fb>380.58</fb>
    <v>32</v>
  </rv>
  <rv s="12">
    <fb>378.28</fb>
    <v>32</v>
  </rv>
  <rv s="12">
    <fb>114.01</fb>
    <v>34</v>
  </rv>
  <rv s="12">
    <fb>1041.8158000000001</fb>
    <v>33</v>
  </rv>
  <rv s="12">
    <fb>124.46</fb>
    <v>32</v>
  </rv>
  <rv s="12">
    <fb>141.72</fb>
    <v>32</v>
  </rv>
  <rv s="12">
    <fb>11.55</fb>
    <v>32</v>
  </rv>
  <rv s="12">
    <fb>113.59</fb>
    <v>32</v>
  </rv>
  <rv s="12">
    <fb>175.23570000000001</fb>
    <v>33</v>
  </rv>
  <rv s="12">
    <fb>602.36829999999998</fb>
    <v>33</v>
  </rv>
  <rv s="12">
    <fb>21.46</fb>
    <v>32</v>
  </rv>
  <rv s="12">
    <fb>262.03680000000003</fb>
    <v>33</v>
  </rv>
  <rv s="12">
    <fb>643.76829999999995</fb>
    <v>33</v>
  </rv>
  <rv s="12">
    <fb>72.069999999999993</fb>
    <v>32</v>
  </rv>
  <rv s="12">
    <fb>136.34039999999999</fb>
    <v>33</v>
  </rv>
  <rv s="12">
    <fb>238.9392</fb>
    <v>33</v>
  </rv>
  <rv s="12">
    <fb>892.21</fb>
    <v>33</v>
  </rv>
  <rv s="12">
    <fb>54.91</fb>
    <v>32</v>
  </rv>
  <rv s="12">
    <fb>23.99</fb>
    <v>32</v>
  </rv>
  <rv s="12">
    <fb>159.33000000000001</fb>
    <v>33</v>
  </rv>
  <rv s="12">
    <fb>236.8673</fb>
    <v>33</v>
  </rv>
  <rv s="12">
    <fb>2.7966000000000002</fb>
    <v>32</v>
  </rv>
  <rv s="12">
    <fb>88.33</fb>
    <v>34</v>
  </rv>
  <rv s="12">
    <fb>4.5778999999999996</fb>
    <v>32</v>
  </rv>
  <rv s="12">
    <fb>252.26</fb>
    <v>32</v>
  </rv>
  <rv s="12">
    <fb>264.08420000000001</fb>
    <v>33</v>
  </rv>
  <rv s="12">
    <fb>158.61000000000001</fb>
    <v>33</v>
  </rv>
  <rv s="12">
    <fb>293.4237</fb>
    <v>33</v>
  </rv>
  <rv s="12">
    <fb>108.05759999999999</fb>
    <v>33</v>
  </rv>
  <rv s="12">
    <fb>213.63200000000001</fb>
    <v>33</v>
  </rv>
  <rv s="12">
    <fb>13.438000000000001</fb>
    <v>32</v>
  </rv>
  <rv s="12">
    <fb>13.88</fb>
    <v>34</v>
  </rv>
  <rv s="12">
    <fb>23.39</fb>
    <v>34</v>
  </rv>
  <rv s="12">
    <fb>123.81</fb>
    <v>33</v>
  </rv>
  <rv s="12">
    <fb>157.09</fb>
    <v>32</v>
  </rv>
  <rv s="12">
    <fb>381.44</fb>
    <v>32</v>
  </rv>
  <rv s="12">
    <fb>379.12</fb>
    <v>32</v>
  </rv>
  <rv s="12">
    <fb>127.45</fb>
    <v>32</v>
  </rv>
  <rv s="12">
    <fb>114.41</fb>
    <v>34</v>
  </rv>
  <rv s="12">
    <fb>1041.3341</fb>
    <v>33</v>
  </rv>
  <rv s="12">
    <fb>125.2</fb>
    <v>32</v>
  </rv>
  <rv s="12">
    <fb>142.12</fb>
    <v>32</v>
  </rv>
  <rv s="12">
    <fb>403.5</fb>
    <v>35</v>
  </rv>
  <rv s="12">
    <fb>11.6</fb>
    <v>32</v>
  </rv>
  <rv s="12">
    <fb>114.95</fb>
    <v>32</v>
  </rv>
  <rv s="12">
    <fb>178.1651</fb>
    <v>33</v>
  </rv>
  <rv s="12">
    <fb>613.10469999999998</fb>
    <v>33</v>
  </rv>
  <rv s="12">
    <fb>21.83</fb>
    <v>32</v>
  </rv>
  <rv s="12">
    <fb>264.79320000000001</fb>
    <v>33</v>
  </rv>
  <rv s="12">
    <fb>652.79060000000004</fb>
    <v>33</v>
  </rv>
  <rv s="12">
    <fb>73.45</fb>
    <v>32</v>
  </rv>
  <rv s="12">
    <fb>136.96289999999999</fb>
    <v>33</v>
  </rv>
  <rv s="12">
    <fb>243.3887</fb>
    <v>33</v>
  </rv>
  <rv s="12">
    <fb>907.69</fb>
    <v>33</v>
  </rv>
  <rv s="12">
    <fb>55.53</fb>
    <v>32</v>
  </rv>
  <rv s="12">
    <fb>24.414999999999999</fb>
    <v>32</v>
  </rv>
  <rv s="12">
    <fb>238.30609999999999</fb>
    <v>33</v>
  </rv>
  <rv s="12">
    <fb>2.8134000000000001</fb>
    <v>32</v>
  </rv>
  <rv s="12">
    <fb>4.6595000000000004</fb>
    <v>34</v>
  </rv>
  <rv s="12">
    <fb>4.6036999999999999</fb>
    <v>32</v>
  </rv>
  <rv s="12">
    <fb>253.8</fb>
    <v>32</v>
  </rv>
  <rv s="12">
    <fb>264.68810000000002</fb>
    <v>33</v>
  </rv>
  <rv s="12">
    <fb>158.66999999999999</fb>
    <v>33</v>
  </rv>
  <rv s="12">
    <fb>294.2312</fb>
    <v>33</v>
  </rv>
  <rv s="12">
    <fb>108.0565</fb>
    <v>33</v>
  </rv>
  <rv s="12">
    <fb>213.68</fb>
    <v>33</v>
  </rv>
  <rv s="12">
    <fb>13.343999999999999</fb>
    <v>32</v>
  </rv>
  <rv s="12">
    <fb>23.2</fb>
    <v>34</v>
  </rv>
  <rv s="12">
    <fb>146.47999999999999</fb>
    <v>33</v>
  </rv>
  <rv s="12">
    <fb>124.15</fb>
    <v>33</v>
  </rv>
  <rv s="12">
    <fb>157.44999999999999</fb>
    <v>32</v>
  </rv>
  <rv s="12">
    <fb>382.44</fb>
    <v>32</v>
  </rv>
  <rv s="12">
    <fb>380.06</fb>
    <v>32</v>
  </rv>
  <rv s="12">
    <fb>127.77</fb>
    <v>32</v>
  </rv>
  <rv s="12">
    <fb>114.31</fb>
    <v>34</v>
  </rv>
  <rv s="12">
    <fb>1044.4494999999999</fb>
    <v>33</v>
  </rv>
  <rv s="12">
    <fb>126.3</fb>
    <v>32</v>
  </rv>
  <rv s="12">
    <fb>142.88</fb>
    <v>32</v>
  </rv>
  <rv s="12">
    <fb>11.586</fb>
    <v>32</v>
  </rv>
  <rv s="12">
    <fb>114.795</fb>
    <v>32</v>
  </rv>
  <rv s="12">
    <fb>178.1302</fb>
    <v>33</v>
  </rv>
  <rv s="12">
    <fb>613.14700000000005</fb>
    <v>33</v>
  </rv>
  <rv s="12">
    <fb>21.795000000000002</fb>
    <v>32</v>
  </rv>
  <rv s="12">
    <fb>265.01609999999999</fb>
    <v>33</v>
  </rv>
  <rv s="12">
    <fb>650.4058</fb>
    <v>33</v>
  </rv>
  <rv s="12">
    <fb>73.48</fb>
    <v>32</v>
  </rv>
  <rv s="12">
    <fb>136.6901</fb>
    <v>33</v>
  </rv>
  <rv s="12">
    <fb>243.72559999999999</fb>
    <v>33</v>
  </rv>
  <rv s="12">
    <fb>909.65</fb>
    <v>33</v>
  </rv>
  <rv s="12">
    <fb>55.22</fb>
    <v>32</v>
  </rv>
  <rv s="12">
    <fb>24.12</fb>
    <v>32</v>
  </rv>
  <rv s="12">
    <fb>160.94999999999999</fb>
    <v>33</v>
  </rv>
  <rv s="12">
    <fb>239.49359999999999</fb>
    <v>33</v>
  </rv>
  <rv s="12">
    <fb>2.8020999999999998</fb>
    <v>32</v>
  </rv>
  <rv s="12">
    <fb>4.6395</fb>
    <v>34</v>
  </rv>
  <rv s="12">
    <fb>4.5792000000000002</fb>
    <v>32</v>
  </rv>
  <rv s="12">
    <fb>252.9</fb>
    <v>32</v>
  </rv>
  <rv s="12">
    <fb>263.96629999999999</fb>
    <v>33</v>
  </rv>
  <rv s="12">
    <fb>158.55000000000001</fb>
    <v>33</v>
  </rv>
  <rv s="12">
    <fb>293.50580000000002</fb>
    <v>33</v>
  </rv>
  <rv s="12">
    <fb>107.91079999999999</fb>
    <v>33</v>
  </rv>
  <rv s="12">
    <fb>213.678</fb>
    <v>33</v>
  </rv>
  <rv s="12">
    <fb>13.348000000000001</fb>
    <v>32</v>
  </rv>
  <rv s="12">
    <fb>13.73</fb>
    <v>34</v>
  </rv>
  <rv s="12">
    <fb>23.16</fb>
    <v>34</v>
  </rv>
  <rv s="12">
    <fb>124.09</fb>
    <v>33</v>
  </rv>
  <rv s="12">
    <fb>157.03</fb>
    <v>32</v>
  </rv>
  <rv s="12">
    <fb>381.22</fb>
    <v>32</v>
  </rv>
  <rv s="12">
    <fb>378.94</fb>
    <v>32</v>
  </rv>
  <rv s="12">
    <fb>127.36</fb>
    <v>32</v>
  </rv>
  <rv s="12">
    <fb>1043.6237000000001</fb>
    <v>33</v>
  </rv>
  <rv s="12">
    <fb>126.76</fb>
    <v>32</v>
  </rv>
  <rv s="12">
    <fb>143.26</fb>
    <v>32</v>
  </rv>
  <rv s="12">
    <fb>11.497999999999999</fb>
    <v>32</v>
  </rv>
  <rv s="12">
    <fb>113.125</fb>
    <v>32</v>
  </rv>
  <rv s="12">
    <fb>174.38399999999999</fb>
    <v>33</v>
  </rv>
  <rv s="12">
    <fb>599.93280000000004</fb>
    <v>33</v>
  </rv>
  <rv s="12">
    <fb>21.37</fb>
    <v>32</v>
  </rv>
  <rv s="12">
    <fb>260.49970000000002</fb>
    <v>33</v>
  </rv>
  <rv s="12">
    <fb>640.67960000000005</fb>
    <v>33</v>
  </rv>
  <rv s="12">
    <fb>72.45</fb>
    <v>32</v>
  </rv>
  <rv s="12">
    <fb>132.2336</fb>
    <v>33</v>
  </rv>
  <rv s="12">
    <fb>234.74789999999999</fb>
    <v>33</v>
  </rv>
  <rv s="12">
    <fb>878.96</fb>
    <v>33</v>
  </rv>
  <rv s="12">
    <fb>54.68</fb>
    <v>32</v>
  </rv>
  <rv s="12">
    <fb>24.135000000000002</fb>
    <v>32</v>
  </rv>
  <rv s="12">
    <fb>160.74</fb>
    <v>33</v>
  </rv>
  <rv s="12">
    <fb>239.14580000000001</fb>
    <v>33</v>
  </rv>
  <rv s="12">
    <fb>2.7597999999999998</fb>
    <v>32</v>
  </rv>
  <rv s="12">
    <fb>4.593</fb>
    <v>34</v>
  </rv>
  <rv s="12">
    <fb>4.5617999999999999</fb>
    <v>32</v>
  </rv>
  <rv s="12">
    <fb>252</fb>
    <v>32</v>
  </rv>
  <rv s="12">
    <fb>264.64670000000001</fb>
    <v>33</v>
  </rv>
  <rv s="12">
    <fb>158.69999999999999</fb>
    <v>33</v>
  </rv>
  <rv s="12">
    <fb>107.94029999999999</fb>
    <v>33</v>
  </rv>
  <rv s="12">
    <fb>13.38</fb>
    <v>32</v>
  </rv>
  <rv s="12">
    <fb>146.53</fb>
    <v>33</v>
  </rv>
  <rv s="12">
    <fb>123.91</fb>
    <v>33</v>
  </rv>
  <rv s="12">
    <fb>159.08000000000001</fb>
    <v>32</v>
  </rv>
  <rv s="12">
    <fb>386.18</fb>
    <v>32</v>
  </rv>
  <rv s="12">
    <fb>383.84</fb>
    <v>32</v>
  </rv>
  <rv s="12">
    <fb>129.03</fb>
    <v>32</v>
  </rv>
  <rv s="12">
    <fb>114.84</fb>
    <v>34</v>
  </rv>
  <rv s="12">
    <fb>1041.7277999999999</fb>
    <v>33</v>
  </rv>
  <rv s="12">
    <fb>123.82</fb>
    <v>32</v>
  </rv>
  <rv s="12">
    <fb>141.28</fb>
    <v>32</v>
  </rv>
  <rv s="12">
    <fb>402</fb>
    <v>35</v>
  </rv>
  <rv s="12">
    <fb>11.382</fb>
    <v>32</v>
  </rv>
  <rv s="12">
    <fb>112.185</fb>
    <v>32</v>
  </rv>
  <rv s="12">
    <fb>173.8109</fb>
    <v>33</v>
  </rv>
  <rv s="12">
    <fb>597.73789999999997</fb>
    <v>33</v>
  </rv>
  <rv s="12">
    <fb>21.21</fb>
    <v>32</v>
  </rv>
  <rv s="12">
    <fb>258.33760000000001</fb>
    <v>33</v>
  </rv>
  <rv s="12">
    <fb>636.98530000000005</fb>
    <v>33</v>
  </rv>
  <rv s="12">
    <fb>71.959999999999994</fb>
    <v>32</v>
  </rv>
  <rv s="12">
    <fb>132.2602</fb>
    <v>33</v>
  </rv>
  <rv s="12">
    <fb>233.45349999999999</fb>
    <v>33</v>
  </rv>
  <rv s="12">
    <fb>875.48</fb>
    <v>33</v>
  </rv>
  <rv s="12">
    <fb>54.38</fb>
    <v>32</v>
  </rv>
  <rv s="12">
    <fb>23.795000000000002</fb>
    <v>32</v>
  </rv>
  <rv s="12">
    <fb>235.83279999999999</fb>
    <v>33</v>
  </rv>
  <rv s="12">
    <fb>2.7342</fb>
    <v>32</v>
  </rv>
  <rv s="12">
    <fb>4.5754999999999999</fb>
    <v>34</v>
  </rv>
  <rv s="12">
    <fb>86.65</fb>
    <v>34</v>
  </rv>
  <rv s="12">
    <fb>4.5396000000000001</fb>
    <v>32</v>
  </rv>
  <rv s="12">
    <fb>250.64</fb>
    <v>32</v>
  </rv>
  <rv s="12">
    <fb>263.68900000000002</fb>
    <v>33</v>
  </rv>
  <rv s="12">
    <fb>158.59</fb>
    <v>33</v>
  </rv>
  <rv s="12">
    <fb>292.66410000000002</fb>
    <v>33</v>
  </rv>
  <rv s="12">
    <fb>107.83540000000001</fb>
    <v>33</v>
  </rv>
  <rv s="12">
    <fb>213.22900000000001</fb>
    <v>33</v>
  </rv>
  <rv s="12">
    <fb>13.288</fb>
    <v>32</v>
  </rv>
  <rv s="12">
    <fb>13.93</fb>
    <v>34</v>
  </rv>
  <rv s="12">
    <fb>23.48</fb>
    <v>34</v>
  </rv>
  <rv s="12">
    <fb>123.29</fb>
    <v>33</v>
  </rv>
  <rv s="12">
    <fb>160.32</fb>
    <v>32</v>
  </rv>
  <rv s="12">
    <fb>389.2</fb>
    <v>32</v>
  </rv>
  <rv s="12">
    <fb>386.82</fb>
    <v>32</v>
  </rv>
  <rv s="12">
    <fb>130.04</fb>
    <v>32</v>
  </rv>
  <rv s="12">
    <fb>1040.2329999999999</fb>
    <v>33</v>
  </rv>
  <rv s="12">
    <fb>121.08</fb>
    <v>32</v>
  </rv>
  <rv s="12">
    <fb>139.12</fb>
    <v>32</v>
  </rv>
  <rv s="12">
    <fb>11.342000000000001</fb>
    <v>32</v>
  </rv>
  <rv s="12">
    <fb>112.245</fb>
    <v>32</v>
  </rv>
  <rv s="12">
    <fb>174.1892</fb>
    <v>33</v>
  </rv>
  <rv s="12">
    <fb>599.63930000000005</fb>
    <v>33</v>
  </rv>
  <rv s="12">
    <fb>21.55</fb>
    <v>32</v>
  </rv>
  <rv s="12">
    <fb>260.14569999999998</fb>
    <v>33</v>
  </rv>
  <rv s="12">
    <fb>643.00059999999996</fb>
    <v>33</v>
  </rv>
  <rv s="12">
    <fb>71.760000000000005</fb>
    <v>32</v>
  </rv>
  <rv s="12">
    <fb>130.91480000000001</fb>
    <v>33</v>
  </rv>
  <rv s="12">
    <fb>234.37649999999999</fb>
    <v>33</v>
  </rv>
  <rv s="12">
    <fb>877.07</fb>
    <v>33</v>
  </rv>
  <rv s="12">
    <fb>54.92</fb>
    <v>32</v>
  </rv>
  <rv s="12">
    <fb>24.05</fb>
    <v>32</v>
  </rv>
  <rv s="12">
    <fb>158.19</fb>
    <v>33</v>
  </rv>
  <rv s="12">
    <fb>235.43680000000001</fb>
    <v>33</v>
  </rv>
  <rv s="12">
    <fb>2.7416</fb>
    <v>32</v>
  </rv>
  <rv s="12">
    <fb>4.5845000000000002</fb>
    <v>34</v>
  </rv>
  <rv s="12">
    <fb>87.31</fb>
    <v>34</v>
  </rv>
  <rv s="12">
    <fb>4.5166000000000004</fb>
    <v>32</v>
  </rv>
  <rv s="12">
    <fb>249.66</fb>
    <v>32</v>
  </rv>
  <rv s="12">
    <fb>263.40449999999998</fb>
    <v>33</v>
  </rv>
  <rv s="12">
    <fb>158.57</fb>
    <v>33</v>
  </rv>
  <rv s="12">
    <fb>292.57080000000002</fb>
    <v>33</v>
  </rv>
  <rv s="12">
    <fb>107.92919999999999</fb>
    <v>33</v>
  </rv>
  <rv s="12">
    <fb>213.49</fb>
    <v>33</v>
  </rv>
  <rv s="12">
    <fb>13.382</fb>
    <v>32</v>
  </rv>
  <rv s="12">
    <fb>14.08</fb>
    <v>34</v>
  </rv>
  <rv s="12">
    <fb>23.75</fb>
    <v>34</v>
  </rv>
  <rv s="12">
    <fb>164.05</fb>
    <v>32</v>
  </rv>
  <rv s="12">
    <fb>398.4</fb>
    <v>32</v>
  </rv>
  <rv s="12">
    <fb>395.82</fb>
    <v>32</v>
  </rv>
  <rv s="12">
    <fb>133.06</fb>
    <v>32</v>
  </rv>
  <rv s="12">
    <fb>1041.4627</fb>
    <v>33</v>
  </rv>
  <rv s="12">
    <fb>119.22</fb>
    <v>32</v>
  </rv>
  <rv s="12">
    <fb>138.54</fb>
    <v>32</v>
  </rv>
  <rv s="12">
    <fb>405.5</fb>
    <v>35</v>
  </rv>
  <rv s="12">
    <fb>11.48</fb>
    <v>32</v>
  </rv>
  <rv s="12">
    <fb>113.005</fb>
    <v>32</v>
  </rv>
  <rv s="12">
    <fb>175.50470000000001</fb>
    <v>33</v>
  </rv>
  <rv s="12">
    <fb>604.97090000000003</fb>
    <v>33</v>
  </rv>
  <rv s="12">
    <fb>263.36840000000001</fb>
    <v>33</v>
  </rv>
  <rv s="12">
    <fb>647.75429999999994</fb>
    <v>33</v>
  </rv>
  <rv s="12">
    <fb>71.87</fb>
    <v>32</v>
  </rv>
  <rv s="12">
    <fb>132.71039999999999</fb>
    <v>33</v>
  </rv>
  <rv s="12">
    <fb>236.75620000000001</fb>
    <v>33</v>
  </rv>
  <rv s="12">
    <fb>884.36</fb>
    <v>33</v>
  </rv>
  <rv s="12">
    <fb>55.41</fb>
    <v>32</v>
  </rv>
  <rv s="12">
    <fb>24.17</fb>
    <v>32</v>
  </rv>
  <rv s="12">
    <fb>158.41</fb>
    <v>33</v>
  </rv>
  <rv s="12">
    <fb>235.9598</fb>
    <v>33</v>
  </rv>
  <rv s="12">
    <fb>2.7454999999999998</fb>
    <v>32</v>
  </rv>
  <rv s="12">
    <fb>87.69</fb>
    <v>34</v>
  </rv>
  <rv s="12">
    <fb>4.5427999999999997</fb>
    <v>32</v>
  </rv>
  <rv s="12">
    <fb>250.9</fb>
    <v>32</v>
  </rv>
  <rv s="12">
    <fb>263.04849999999999</fb>
    <v>33</v>
  </rv>
  <rv s="12">
    <fb>292.67950000000002</fb>
    <v>33</v>
  </rv>
  <rv s="12">
    <fb>107.97020000000001</fb>
    <v>33</v>
  </rv>
  <rv s="12">
    <fb>213.7</fb>
    <v>33</v>
  </rv>
  <rv s="12">
    <fb>13.321999999999999</fb>
    <v>32</v>
  </rv>
  <rv s="12">
    <fb>14.09</fb>
    <v>34</v>
  </rv>
  <rv s="12">
    <fb>23.74</fb>
    <v>34</v>
  </rv>
  <rv s="12">
    <fb>146.15</fb>
    <v>33</v>
  </rv>
  <rv s="12">
    <fb>123.77</fb>
    <v>33</v>
  </rv>
  <rv s="12">
    <fb>164.63</fb>
    <v>32</v>
  </rv>
  <rv s="12">
    <fb>399.66</fb>
    <v>32</v>
  </rv>
  <rv s="12">
    <fb>397.22</fb>
    <v>32</v>
  </rv>
  <rv s="12">
    <fb>133.56</fb>
    <v>32</v>
  </rv>
  <rv s="12">
    <fb>1041.4961000000001</fb>
    <v>33</v>
  </rv>
  <rv s="12">
    <fb>117.48</fb>
    <v>32</v>
  </rv>
  <rv s="12">
    <fb>136.72</fb>
    <v>32</v>
  </rv>
  <rv s="12">
    <fb>11.422000000000001</fb>
    <v>32</v>
  </rv>
  <rv s="12">
    <fb>112.815</fb>
    <v>32</v>
  </rv>
  <rv s="12">
    <fb>175.85650000000001</fb>
    <v>33</v>
  </rv>
  <rv s="12">
    <fb>605.96900000000005</fb>
    <v>33</v>
  </rv>
  <rv s="12">
    <fb>21.56</fb>
    <v>32</v>
  </rv>
  <rv s="12">
    <fb>263.83629999999999</fb>
    <v>33</v>
  </rv>
  <rv s="12">
    <fb>644.56309999999996</fb>
    <v>33</v>
  </rv>
  <rv s="12">
    <fb>71.650000000000006</fb>
    <v>32</v>
  </rv>
  <rv s="12">
    <fb>132.96719999999999</fb>
    <v>33</v>
  </rv>
  <rv s="12">
    <fb>236.62549999999999</fb>
    <v>33</v>
  </rv>
  <rv s="12">
    <fb>882.9</fb>
    <v>33</v>
  </rv>
  <rv s="12">
    <fb>54.86</fb>
    <v>32</v>
  </rv>
  <rv s="12">
    <fb>24.11</fb>
    <v>32</v>
  </rv>
  <rv s="12">
    <fb>236.6634</fb>
    <v>33</v>
  </rv>
  <rv s="12">
    <fb>2.7517999999999998</fb>
    <v>32</v>
  </rv>
  <rv s="12">
    <fb>4.6260000000000003</fb>
    <v>34</v>
  </rv>
  <rv s="12">
    <fb>4.5473999999999997</fb>
    <v>32</v>
  </rv>
  <rv s="12">
    <fb>251.28</fb>
    <v>32</v>
  </rv>
  <rv s="12">
    <fb>262.52330000000001</fb>
    <v>33</v>
  </rv>
  <rv s="12">
    <fb>158.44999999999999</fb>
    <v>33</v>
  </rv>
  <rv s="12">
    <fb>292.17950000000002</fb>
    <v>33</v>
  </rv>
  <rv s="12">
    <fb>107.92700000000001</fb>
    <v>33</v>
  </rv>
  <rv s="12">
    <fb>213.65600000000001</fb>
    <v>33</v>
  </rv>
  <rv s="12">
    <fb>13.476000000000001</fb>
    <v>32</v>
  </rv>
  <rv s="12">
    <fb>14.34</fb>
    <v>34</v>
  </rv>
  <rv s="12">
    <fb>24.18</fb>
    <v>34</v>
  </rv>
  <rv s="12">
    <fb>146.01</fb>
    <v>33</v>
  </rv>
  <rv s="12">
    <fb>123.53</fb>
    <v>33</v>
  </rv>
  <rv s="12">
    <fb>167.91</fb>
    <v>32</v>
  </rv>
  <rv s="12">
    <fb>407.76</fb>
    <v>32</v>
  </rv>
  <rv s="12">
    <fb>405.14</fb>
    <v>32</v>
  </rv>
  <rv s="12">
    <fb>136.24</fb>
    <v>32</v>
  </rv>
  <rv s="12">
    <fb>114.8</fb>
    <v>34</v>
  </rv>
  <rv s="12">
    <fb>1039.3592000000001</fb>
    <v>33</v>
  </rv>
  <rv s="12">
    <fb>117.6</fb>
    <v>32</v>
  </rv>
  <rv s="12">
    <fb>136.54</fb>
    <v>32</v>
  </rv>
  <rv s="12">
    <fb>11.428000000000001</fb>
    <v>32</v>
  </rv>
  <rv s="12">
    <fb>112.38500000000001</fb>
    <v>32</v>
  </rv>
  <rv s="12">
    <fb>175.9913</fb>
    <v>33</v>
  </rv>
  <rv s="12">
    <fb>607.89049999999997</fb>
    <v>33</v>
  </rv>
  <rv s="12">
    <fb>21.355</fb>
    <v>32</v>
  </rv>
  <rv s="12">
    <fb>264.24590000000001</fb>
    <v>33</v>
  </rv>
  <rv s="12">
    <fb>649.59789999999998</fb>
    <v>33</v>
  </rv>
  <rv s="12">
    <fb>71.45</fb>
    <v>32</v>
  </rv>
  <rv s="12">
    <fb>132.26429999999999</fb>
    <v>33</v>
  </rv>
  <rv s="12">
    <fb>235.8777</fb>
    <v>33</v>
  </rv>
  <rv s="12">
    <fb>880.66</fb>
    <v>33</v>
  </rv>
  <rv s="12">
    <fb>54.64</fb>
    <v>32</v>
  </rv>
  <rv s="12">
    <fb>24.02</fb>
    <v>32</v>
  </rv>
  <rv s="12">
    <fb>235.71719999999999</fb>
    <v>33</v>
  </rv>
  <rv s="12">
    <fb>2.7393999999999998</fb>
    <v>32</v>
  </rv>
  <rv s="12">
    <fb>4.6470000000000002</fb>
    <v>34</v>
  </rv>
  <rv s="12">
    <fb>88.35</fb>
    <v>34</v>
  </rv>
  <rv s="12">
    <fb>4.5789</fb>
    <v>32</v>
  </rv>
  <rv s="12">
    <fb>252.57</fb>
    <v>32</v>
  </rv>
  <rv s="12">
    <fb>263.04020000000003</fb>
    <v>33</v>
  </rv>
  <rv s="12">
    <fb>158.58000000000001</fb>
    <v>33</v>
  </rv>
  <rv s="12">
    <fb>292.65769999999998</fb>
    <v>33</v>
  </rv>
  <rv s="12">
    <fb>108.0616</fb>
    <v>33</v>
  </rv>
  <rv s="12">
    <fb>213.733</fb>
    <v>33</v>
  </rv>
  <rv s="12">
    <fb>13.462</fb>
    <v>32</v>
  </rv>
  <rv s="12">
    <fb>14.42</fb>
    <v>34</v>
  </rv>
  <rv s="12">
    <fb>24.29</fb>
    <v>34</v>
  </rv>
  <rv s="12">
    <fb>123.99</fb>
    <v>33</v>
  </rv>
  <rv s="12">
    <fb>169.34</fb>
    <v>32</v>
  </rv>
  <rv s="12">
    <fb>411.22</fb>
    <v>32</v>
  </rv>
  <rv s="12">
    <fb>408.64</fb>
    <v>32</v>
  </rv>
  <rv s="12">
    <fb>137.36000000000001</fb>
    <v>32</v>
  </rv>
  <rv s="12">
    <fb>114.89</fb>
    <v>34</v>
  </rv>
  <rv s="12">
    <fb>1041.7455</fb>
    <v>33</v>
  </rv>
  <rv s="12">
    <fb>114.04</fb>
    <v>32</v>
  </rv>
  <rv s="12">
    <fb>133.72</fb>
    <v>32</v>
  </rv>
  <rv s="12">
    <fb>414</fb>
    <v>35</v>
  </rv>
  <rv s="12">
    <fb>11.346</fb>
    <v>32</v>
  </rv>
  <rv s="12">
    <fb>112.235</fb>
    <v>32</v>
  </rv>
  <rv s="12">
    <fb>176.61779999999999</fb>
    <v>33</v>
  </rv>
  <rv s="12">
    <fb>609.94060000000002</fb>
    <v>33</v>
  </rv>
  <rv s="12">
    <fb>21.29</fb>
    <v>32</v>
  </rv>
  <rv s="12">
    <fb>265.52510000000001</fb>
    <v>33</v>
  </rv>
  <rv s="12">
    <fb>652.52390000000003</fb>
    <v>33</v>
  </rv>
  <rv s="12">
    <fb>71.95</fb>
    <v>32</v>
  </rv>
  <rv s="12">
    <fb>131.92779999999999</fb>
    <v>33</v>
  </rv>
  <rv s="12">
    <fb>237.4263</fb>
    <v>33</v>
  </rv>
  <rv s="12">
    <fb>885.23</fb>
    <v>33</v>
  </rv>
  <rv s="12">
    <fb>54.76</fb>
    <v>32</v>
  </rv>
  <rv s="12">
    <fb>24.27</fb>
    <v>32</v>
  </rv>
  <rv s="12">
    <fb>158.62</fb>
    <v>33</v>
  </rv>
  <rv s="12">
    <fb>236.822</fb>
    <v>33</v>
  </rv>
  <rv s="12">
    <fb>2.7121</fb>
    <v>32</v>
  </rv>
  <rv s="12">
    <fb>4.5712000000000002</fb>
    <v>32</v>
  </rv>
  <rv s="12">
    <fb>252.93</fb>
    <v>32</v>
  </rv>
  <rv s="12">
    <fb>263.2681</fb>
    <v>33</v>
  </rv>
  <rv s="12">
    <fb>158.63</fb>
    <v>33</v>
  </rv>
  <rv s="12">
    <fb>292.9393</fb>
    <v>33</v>
  </rv>
  <rv s="12">
    <fb>108.1002</fb>
    <v>33</v>
  </rv>
  <rv s="12">
    <fb>213.73500000000001</fb>
    <v>33</v>
  </rv>
  <rv s="12">
    <fb>13.454000000000001</fb>
    <v>32</v>
  </rv>
  <rv s="12">
    <fb>14.62</fb>
    <v>34</v>
  </rv>
  <rv s="12">
    <fb>24.62</fb>
    <v>34</v>
  </rv>
  <rv s="12">
    <fb>146.16999999999999</fb>
    <v>33</v>
  </rv>
  <rv s="12">
    <fb>123.71</fb>
    <v>33</v>
  </rv>
  <rv s="12">
    <fb>168.45</fb>
    <v>32</v>
  </rv>
  <rv s="12">
    <fb>409.18</fb>
    <v>32</v>
  </rv>
  <rv s="12">
    <fb>406.48</fb>
    <v>32</v>
  </rv>
  <rv s="12">
    <fb>136.63999999999999</fb>
    <v>32</v>
  </rv>
  <rv s="12">
    <fb>1050.7699</fb>
    <v>33</v>
  </rv>
  <rv s="12">
    <fb>113.14</fb>
    <v>32</v>
  </rv>
  <rv s="12">
    <fb>132.52000000000001</fb>
    <v>32</v>
  </rv>
  <rv s="12">
    <fb>412.5</fb>
    <v>35</v>
  </rv>
  <rv s="12">
    <fb>11.458</fb>
    <v>32</v>
  </rv>
  <rv s="12">
    <fb>112.325</fb>
    <v>32</v>
  </rv>
  <rv s="12">
    <fb>175.98910000000001</fb>
    <v>33</v>
  </rv>
  <rv s="12">
    <fb>607.1816</fb>
    <v>33</v>
  </rv>
  <rv s="12">
    <fb>21.285</fb>
    <v>32</v>
  </rv>
  <rv s="12">
    <fb>264.54169999999999</fb>
    <v>33</v>
  </rv>
  <rv s="12">
    <fb>652.79970000000003</fb>
    <v>33</v>
  </rv>
  <rv s="12">
    <fb>72.05</fb>
    <v>32</v>
  </rv>
  <rv s="12">
    <fb>131.43639999999999</fb>
    <v>33</v>
  </rv>
  <rv s="12">
    <fb>237.6514</fb>
    <v>33</v>
  </rv>
  <rv s="12">
    <fb>881.74</fb>
    <v>33</v>
  </rv>
  <rv s="12">
    <fb>55.17</fb>
    <v>32</v>
  </rv>
  <rv s="12">
    <fb>24.465</fb>
    <v>32</v>
  </rv>
  <rv s="12">
    <fb>161.76</fb>
    <v>33</v>
  </rv>
  <rv s="12">
    <fb>241.23580000000001</fb>
    <v>33</v>
  </rv>
  <rv s="12">
    <fb>2.7075</fb>
    <v>32</v>
  </rv>
  <rv s="12">
    <fb>87.6</fb>
    <v>34</v>
  </rv>
  <rv s="12">
    <fb>4.5753000000000004</fb>
    <v>32</v>
  </rv>
  <rv s="12">
    <fb>253.02</fb>
    <v>32</v>
  </rv>
  <rv s="12">
    <fb>264.24430000000001</fb>
    <v>33</v>
  </rv>
  <rv s="12">
    <fb>158.83000000000001</fb>
    <v>33</v>
  </rv>
  <rv s="12">
    <fb>293.77710000000002</fb>
    <v>33</v>
  </rv>
  <rv s="12">
    <fb>108.128</fb>
    <v>33</v>
  </rv>
  <rv s="12">
    <fb>213.69399999999999</fb>
    <v>33</v>
  </rv>
  <rv s="12">
    <fb>13.62</fb>
    <v>32</v>
  </rv>
  <rv s="12">
    <fb>14.82</fb>
    <v>34</v>
  </rv>
  <rv s="12">
    <fb>24.94</fb>
    <v>34</v>
  </rv>
  <rv s="12">
    <fb>146.32</fb>
    <v>33</v>
  </rv>
  <rv s="12">
    <fb>123.92</fb>
    <v>33</v>
  </rv>
  <rv s="12">
    <fb>175.55</fb>
    <v>32</v>
  </rv>
  <rv s="12">
    <fb>426.24</fb>
    <v>32</v>
  </rv>
  <rv s="12">
    <fb>423.48</fb>
    <v>32</v>
  </rv>
  <rv s="12">
    <fb>142.36000000000001</fb>
    <v>32</v>
  </rv>
  <rv s="12">
    <fb>115.08</fb>
    <v>34</v>
  </rv>
  <rv s="12">
    <fb>1048.9606000000001</fb>
    <v>33</v>
  </rv>
  <rv s="12">
    <fb>112.34</fb>
    <v>32</v>
  </rv>
  <rv s="12">
    <fb>132.66</fb>
    <v>32</v>
  </rv>
  <rv s="12">
    <fb>413</fb>
    <v>35</v>
  </rv>
  <rv s="12">
    <fb>11.282</fb>
    <v>32</v>
  </rv>
  <rv s="12">
    <fb>111.42</fb>
    <v>32</v>
  </rv>
  <rv s="12">
    <fb>175.48</fb>
    <v>33</v>
  </rv>
  <rv s="12">
    <fb>606.61770000000001</fb>
    <v>33</v>
  </rv>
  <rv s="12">
    <fb>21.344999999999999</fb>
    <v>32</v>
  </rv>
  <rv s="12">
    <fb>259.72320000000002</fb>
    <v>33</v>
  </rv>
  <rv s="12">
    <fb>653.58050000000003</fb>
    <v>33</v>
  </rv>
  <rv s="12">
    <fb>71.11</fb>
    <v>32</v>
  </rv>
  <rv s="12">
    <fb>129.75899999999999</fb>
    <v>33</v>
  </rv>
  <rv s="12">
    <fb>237.96119999999999</fb>
    <v>33</v>
  </rv>
  <rv s="12">
    <fb>882.55</fb>
    <v>33</v>
  </rv>
  <rv s="12">
    <fb>55.18</fb>
    <v>32</v>
  </rv>
  <rv s="12">
    <fb>24.344999999999999</fb>
    <v>32</v>
  </rv>
  <rv s="12">
    <fb>161.69999999999999</fb>
    <v>33</v>
  </rv>
  <rv s="12">
    <fb>240.80090000000001</fb>
    <v>33</v>
  </rv>
  <rv s="12">
    <fb>2.7054</fb>
    <v>32</v>
  </rv>
  <rv s="12">
    <fb>87.62</fb>
    <v>34</v>
  </rv>
  <rv s="12">
    <fb>4.5755999999999997</fb>
    <v>32</v>
  </rv>
  <rv s="12">
    <fb>252.55</fb>
    <v>32</v>
  </rv>
  <rv s="12">
    <fb>265.31400000000002</fb>
    <v>33</v>
  </rv>
  <rv s="12">
    <fb>159.02000000000001</fb>
    <v>33</v>
  </rv>
  <rv s="12">
    <fb>294.6207</fb>
    <v>33</v>
  </rv>
  <rv s="12">
    <fb>108.2089</fb>
    <v>33</v>
  </rv>
  <rv s="12">
    <fb>213.626</fb>
    <v>33</v>
  </rv>
  <rv s="12">
    <fb>13.752000000000001</fb>
    <v>32</v>
  </rv>
  <rv s="12">
    <fb>15.02</fb>
    <v>34</v>
  </rv>
  <rv s="12">
    <fb>25.3</fb>
    <v>34</v>
  </rv>
  <rv s="12">
    <fb>146.56</fb>
    <v>33</v>
  </rv>
  <rv s="12">
    <fb>123.93</fb>
    <v>33</v>
  </rv>
  <rv s="12">
    <fb>175.2</fb>
    <v>32</v>
  </rv>
  <rv s="12">
    <fb>424.38</fb>
    <v>32</v>
  </rv>
  <rv s="12">
    <fb>421.18</fb>
    <v>32</v>
  </rv>
  <rv s="12">
    <fb>141.69</fb>
    <v>32</v>
  </rv>
  <rv s="12">
    <fb>115.36</fb>
    <v>34</v>
  </rv>
  <rv s="12">
    <fb>1049.9507000000001</fb>
    <v>33</v>
  </rv>
  <rv s="12">
    <fb>111.84</fb>
    <v>32</v>
  </rv>
  <rv s="12">
    <fb>132.28</fb>
    <v>32</v>
  </rv>
  <rv s="12">
    <fb>11.336</fb>
    <v>32</v>
  </rv>
  <rv s="12">
    <fb>112.28</fb>
    <v>32</v>
  </rv>
  <rv s="12">
    <fb>175.00630000000001</fb>
    <v>33</v>
  </rv>
  <rv s="12">
    <fb>605.33799999999997</fb>
    <v>33</v>
  </rv>
  <rv s="12">
    <fb>21.36</fb>
    <v>32</v>
  </rv>
  <rv s="12">
    <fb>258.48599999999999</fb>
    <v>33</v>
  </rv>
  <rv s="12">
    <fb>645.62300000000005</fb>
    <v>33</v>
  </rv>
  <rv s="12">
    <fb>71.48</fb>
    <v>32</v>
  </rv>
  <rv s="12">
    <fb>127.8724</fb>
    <v>33</v>
  </rv>
  <rv s="12">
    <fb>237.91669999999999</fb>
    <v>33</v>
  </rv>
  <rv s="12">
    <fb>882.17</fb>
    <v>33</v>
  </rv>
  <rv s="12">
    <fb>55.7</fb>
    <v>32</v>
  </rv>
  <rv s="12">
    <fb>24.175000000000001</fb>
    <v>32</v>
  </rv>
  <rv s="12">
    <fb>158.75</fb>
    <v>33</v>
  </rv>
  <rv s="12">
    <fb>236.51650000000001</fb>
    <v>33</v>
  </rv>
  <rv s="12">
    <fb>2.7139000000000002</fb>
    <v>32</v>
  </rv>
  <rv s="12">
    <fb>4.6040000000000001</fb>
    <v>34</v>
  </rv>
  <rv s="12">
    <fb>87.13</fb>
    <v>34</v>
  </rv>
  <rv s="12">
    <fb>4.5655999999999999</fb>
    <v>32</v>
  </rv>
  <rv s="12">
    <fb>252.4</fb>
    <v>32</v>
  </rv>
  <rv s="12">
    <fb>265.9042</fb>
    <v>33</v>
  </rv>
  <rv s="12">
    <fb>159.13</fb>
    <v>33</v>
  </rv>
  <rv s="12">
    <fb>295.39710000000002</fb>
    <v>33</v>
  </rv>
  <rv s="12">
    <fb>108.2071</fb>
    <v>33</v>
  </rv>
  <rv s="12">
    <fb>213.63399999999999</fb>
    <v>33</v>
  </rv>
  <rv s="12">
    <fb>13.672000000000001</fb>
    <v>32</v>
  </rv>
  <rv s="12">
    <fb>14.52</fb>
    <v>34</v>
  </rv>
  <rv s="12">
    <fb>24.43</fb>
    <v>34</v>
  </rv>
  <rv s="12">
    <fb>146.66</fb>
    <v>33</v>
  </rv>
  <rv s="12">
    <fb>165.62</fb>
    <v>32</v>
  </rv>
  <rv s="12">
    <fb>402.44</fb>
    <v>32</v>
  </rv>
  <rv s="12">
    <fb>398.98</fb>
    <v>32</v>
  </rv>
  <rv s="12">
    <fb>134.41</fb>
    <v>32</v>
  </rv>
  <rv s="12">
    <fb>1042.5272</fb>
    <v>33</v>
  </rv>
  <rv s="12">
    <fb>171.55930000000001</fb>
    <v>33</v>
  </rv>
  <rv s="12">
    <fb>106.76</fb>
    <v>32</v>
  </rv>
  <rv s="12">
    <fb>129.4</fb>
    <v>32</v>
  </rv>
  <rv s="12">
    <fb>11.464</fb>
    <v>32</v>
  </rv>
  <rv s="12">
    <fb>113.44</fb>
    <v>32</v>
  </rv>
  <rv s="12">
    <fb>176.9691</fb>
    <v>33</v>
  </rv>
  <rv s="12">
    <fb>613.55840000000001</fb>
    <v>33</v>
  </rv>
  <rv s="12">
    <fb>21.72</fb>
    <v>32</v>
  </rv>
  <rv s="12">
    <fb>262.66469999999998</fb>
    <v>33</v>
  </rv>
  <rv s="12">
    <fb>653.21190000000001</fb>
    <v>33</v>
  </rv>
  <rv s="12">
    <fb>71.97</fb>
    <v>32</v>
  </rv>
  <rv s="12">
    <fb>128.2842</fb>
    <v>33</v>
  </rv>
  <rv s="12">
    <fb>240.32480000000001</fb>
    <v>33</v>
  </rv>
  <rv s="12">
    <fb>894.24</fb>
    <v>33</v>
  </rv>
  <rv s="12">
    <fb>56.47</fb>
    <v>32</v>
  </rv>
  <rv s="12">
    <fb>24.22</fb>
    <v>32</v>
  </rv>
  <rv s="12">
    <fb>234.24889999999999</fb>
    <v>33</v>
  </rv>
  <rv s="12">
    <fb>2.7202000000000002</fb>
    <v>32</v>
  </rv>
  <rv s="12">
    <fb>4.5890000000000004</fb>
    <v>34</v>
  </rv>
  <rv s="12">
    <fb>86.55</fb>
    <v>34</v>
  </rv>
  <rv s="12">
    <fb>4.5514000000000001</fb>
    <v>32</v>
  </rv>
  <rv s="12">
    <fb>251.49</fb>
    <v>32</v>
  </rv>
  <rv s="12">
    <fb>265.48399999999998</fb>
    <v>33</v>
  </rv>
  <rv s="12">
    <fb>159.11000000000001</fb>
    <v>33</v>
  </rv>
  <rv s="12">
    <fb>295.0822</fb>
    <v>33</v>
  </rv>
  <rv s="12">
    <fb>108.1434</fb>
    <v>33</v>
  </rv>
  <rv s="12">
    <fb>213.751</fb>
    <v>33</v>
  </rv>
  <rv s="12">
    <fb>13.308</fb>
    <v>32</v>
  </rv>
  <rv s="12">
    <fb>13.97</fb>
    <v>34</v>
  </rv>
  <rv s="12">
    <fb>23.54</fb>
    <v>34</v>
  </rv>
  <rv s="12">
    <fb>146.58000000000001</fb>
    <v>33</v>
  </rv>
  <rv s="12">
    <fb>156.61000000000001</fb>
    <v>32</v>
  </rv>
  <rv s="12">
    <fb>380.48</fb>
    <v>32</v>
  </rv>
  <rv s="12">
    <fb>378.24</fb>
    <v>32</v>
  </rv>
  <rv s="12">
    <fb>127.06</fb>
    <v>32</v>
  </rv>
  <rv s="12">
    <fb>115.19</fb>
    <v>34</v>
  </rv>
  <rv s="12">
    <fb>1041.5473</fb>
    <v>33</v>
  </rv>
  <rv s="12">
    <fb>115.04</fb>
    <v>32</v>
  </rv>
  <rv s="12">
    <fb>134.46</fb>
    <v>32</v>
  </rv>
  <rv s="12">
    <fb>417</fb>
    <v>35</v>
  </rv>
  <rv s="12">
    <fb>11.417999999999999</fb>
    <v>32</v>
  </rv>
  <rv s="12">
    <fb>112.965</fb>
    <v>32</v>
  </rv>
  <rv s="12">
    <fb>177.33330000000001</fb>
    <v>33</v>
  </rv>
  <rv s="12">
    <fb>616.90340000000003</fb>
    <v>33</v>
  </rv>
  <rv s="12">
    <fb>21.954999999999998</fb>
    <v>32</v>
  </rv>
  <rv s="12">
    <fb>264.72949999999997</fb>
    <v>33</v>
  </rv>
  <rv s="12">
    <fb>662.49670000000003</fb>
    <v>33</v>
  </rv>
  <rv s="12">
    <fb>71.849999999999994</fb>
    <v>32</v>
  </rv>
  <rv s="12">
    <fb>126.6961</fb>
    <v>33</v>
  </rv>
  <rv s="12">
    <fb>242.80009999999999</fb>
    <v>33</v>
  </rv>
  <rv s="12">
    <fb>900.96</fb>
    <v>33</v>
  </rv>
  <rv s="12">
    <fb>56.81</fb>
    <v>32</v>
  </rv>
  <rv s="12">
    <fb>24.45</fb>
    <v>32</v>
  </rv>
  <rv s="12">
    <fb>160.32</fb>
    <v>33</v>
  </rv>
  <rv s="12">
    <fb>238.98140000000001</fb>
    <v>33</v>
  </rv>
  <rv s="12">
    <fb>2.7138</fb>
    <v>32</v>
  </rv>
  <rv s="12">
    <fb>4.5724999999999998</fb>
    <v>34</v>
  </rv>
  <rv s="12">
    <fb>86.76</fb>
    <v>34</v>
  </rv>
  <rv s="12">
    <fb>4.5278</fb>
    <v>32</v>
  </rv>
  <rv s="12">
    <fb>250.19</fb>
    <v>32</v>
  </rv>
  <rv s="12">
    <fb>264.75900000000001</fb>
    <v>33</v>
  </rv>
  <rv s="12">
    <fb>158.99</fb>
    <v>33</v>
  </rv>
  <rv s="12">
    <fb>294.3895</fb>
    <v>33</v>
  </rv>
  <rv s="12">
    <fb>108.1245</fb>
    <v>33</v>
  </rv>
  <rv s="12">
    <fb>213.71899999999999</fb>
    <v>33</v>
  </rv>
  <rv s="12">
    <fb>13.458</fb>
    <v>32</v>
  </rv>
  <rv s="12">
    <fb>14.33</fb>
    <v>34</v>
  </rv>
  <rv s="12">
    <fb>24.15</fb>
    <v>34</v>
  </rv>
  <rv s="12">
    <fb>123.45</fb>
    <v>33</v>
  </rv>
  <rv s="12">
    <fb>167.13</fb>
    <v>32</v>
  </rv>
  <rv s="12">
    <fb>406.32</fb>
    <v>32</v>
  </rv>
  <rv s="12">
    <fb>403.52</fb>
    <v>32</v>
  </rv>
  <rv s="12">
    <fb>135.65</fb>
    <v>32</v>
  </rv>
  <rv s="12">
    <fb>115.21</fb>
    <v>34</v>
  </rv>
  <rv s="12">
    <fb>1047.5123000000001</fb>
    <v>33</v>
  </rv>
  <rv s="12">
    <fb>116.72</fb>
    <v>32</v>
  </rv>
  <rv s="12">
    <fb>134.54</fb>
    <v>32</v>
  </rv>
  <rv s="12">
    <fb>421</fb>
    <v>35</v>
  </rv>
  <rv s="12">
    <fb>11.374000000000001</fb>
    <v>32</v>
  </rv>
  <rv s="12">
    <fb>112.7</fb>
    <v>32</v>
  </rv>
  <rv s="12">
    <fb>179.08090000000001</fb>
    <v>33</v>
  </rv>
  <rv s="12">
    <fb>624.72640000000001</fb>
    <v>33</v>
  </rv>
  <rv s="12">
    <fb>22.245000000000001</fb>
    <v>32</v>
  </rv>
  <rv s="12">
    <fb>268.70530000000002</fb>
    <v>33</v>
  </rv>
  <rv s="12">
    <fb>677.42179999999996</fb>
    <v>33</v>
  </rv>
  <rv s="12">
    <fb>70.069999999999993</fb>
    <v>32</v>
  </rv>
  <rv s="12">
    <fb>127.15309999999999</fb>
    <v>33</v>
  </rv>
  <rv s="12">
    <fb>246.16079999999999</fb>
    <v>33</v>
  </rv>
  <rv s="12">
    <fb>912.07</fb>
    <v>33</v>
  </rv>
  <rv s="12">
    <fb>57.07</fb>
    <v>32</v>
  </rv>
  <rv s="12">
    <fb>24.29</fb>
    <v>32</v>
  </rv>
  <rv s="12">
    <fb>162</fb>
    <v>33</v>
  </rv>
  <rv s="12">
    <fb>240.9727</fb>
    <v>33</v>
  </rv>
  <rv s="12">
    <fb>2.718</fb>
    <v>32</v>
  </rv>
  <rv s="12">
    <fb>4.5824999999999996</fb>
    <v>34</v>
  </rv>
  <rv s="12">
    <fb>86.54</fb>
    <v>34</v>
  </rv>
  <rv s="12">
    <fb>4.5433000000000003</fb>
    <v>32</v>
  </rv>
  <rv s="12">
    <fb>250.86</fb>
    <v>32</v>
  </rv>
  <rv s="12">
    <fb>266.72179999999997</fb>
    <v>33</v>
  </rv>
  <rv s="12">
    <fb>159.36000000000001</fb>
    <v>33</v>
  </rv>
  <rv s="12">
    <fb>296.19459999999998</fb>
    <v>33</v>
  </rv>
  <rv s="12">
    <fb>108.1733</fb>
    <v>33</v>
  </rv>
  <rv s="12">
    <fb>213.68700000000001</fb>
    <v>33</v>
  </rv>
  <rv s="12">
    <fb>13.465999999999999</fb>
    <v>32</v>
  </rv>
  <rv s="12">
    <fb>14.36</fb>
    <v>34</v>
  </rv>
  <rv s="12">
    <fb>24.19</fb>
    <v>34</v>
  </rv>
  <rv s="12">
    <fb>146.80000000000001</fb>
    <v>33</v>
  </rv>
  <rv s="12">
    <fb>123.55</fb>
    <v>33</v>
  </rv>
  <rv s="12">
    <fb>165.41</fb>
    <v>32</v>
  </rv>
  <rv s="12">
    <fb>401.7</fb>
    <v>32</v>
  </rv>
  <rv s="12">
    <fb>398.94</fb>
    <v>32</v>
  </rv>
  <rv s="12">
    <fb>134.11000000000001</fb>
    <v>32</v>
  </rv>
  <rv s="12">
    <fb>115.57</fb>
    <v>34</v>
  </rv>
  <rv s="12">
    <fb>1047.2072000000001</fb>
    <v>33</v>
  </rv>
  <rv s="12">
    <fb>116.76</fb>
    <v>32</v>
  </rv>
  <rv s="12">
    <fb>134.69999999999999</fb>
    <v>32</v>
  </rv>
  <rv s="12">
    <fb>422.5</fb>
    <v>35</v>
  </rv>
  <rv s="12">
    <fb>11.27</fb>
    <v>32</v>
  </rv>
  <rv s="12">
    <fb>111.565</fb>
    <v>32</v>
  </rv>
  <rv s="12">
    <fb>177.3254</fb>
    <v>33</v>
  </rv>
  <rv s="12">
    <fb>620.029</fb>
    <v>33</v>
  </rv>
  <rv s="12">
    <fb>22</fb>
    <v>32</v>
  </rv>
  <rv s="12">
    <fb>267.46089999999998</fb>
    <v>33</v>
  </rv>
  <rv s="12">
    <fb>670.73829999999998</fb>
    <v>33</v>
  </rv>
  <rv s="12">
    <fb>69.260000000000005</fb>
    <v>32</v>
  </rv>
  <rv s="12">
    <fb>127.1435</fb>
    <v>33</v>
  </rv>
  <rv s="12">
    <fb>245.6146</fb>
    <v>33</v>
  </rv>
  <rv s="12">
    <fb>910.77</fb>
    <v>33</v>
  </rv>
  <rv s="12">
    <fb>56.51</fb>
    <v>32</v>
  </rv>
  <rv s="12">
    <fb>24.184999999999999</fb>
    <v>32</v>
  </rv>
  <rv s="12">
    <fb>159.83000000000001</fb>
    <v>33</v>
  </rv>
  <rv s="12">
    <fb>237.94380000000001</fb>
    <v>33</v>
  </rv>
  <rv s="12">
    <fb>2.7431999999999999</fb>
    <v>32</v>
  </rv>
  <rv s="12">
    <fb>87.48</fb>
    <v>34</v>
  </rv>
  <rv s="12">
    <fb>4.5551000000000004</fb>
    <v>32</v>
  </rv>
  <rv s="12">
    <fb>267.8528</fb>
    <v>33</v>
  </rv>
  <rv s="12">
    <fb>159.58000000000001</fb>
    <v>33</v>
  </rv>
  <rv s="12">
    <fb>297.1112</fb>
    <v>33</v>
  </rv>
  <rv s="12">
    <fb>108.3065</fb>
    <v>33</v>
  </rv>
  <rv s="12">
    <fb>213.59299999999999</fb>
    <v>33</v>
  </rv>
  <rv s="12">
    <fb>13.352</fb>
    <v>32</v>
  </rv>
  <rv s="12">
    <fb>14.12</fb>
    <v>34</v>
  </rv>
  <rv s="12">
    <fb>23.76</fb>
    <v>34</v>
  </rv>
  <rv s="12">
    <fb>146.81</fb>
    <v>33</v>
  </rv>
  <rv s="12">
    <fb>123.05</fb>
    <v>33</v>
  </rv>
  <rv s="12">
    <fb>163.05000000000001</fb>
    <v>32</v>
  </rv>
  <rv s="12">
    <fb>395.86</fb>
    <v>32</v>
  </rv>
  <rv s="12">
    <fb>393.24</fb>
    <v>32</v>
  </rv>
  <rv s="12">
    <fb>132.24</fb>
    <v>32</v>
  </rv>
  <rv s="12">
    <fb>116.32</fb>
    <v>34</v>
  </rv>
  <rv s="12">
    <fb>1040.5064</fb>
    <v>33</v>
  </rv>
  <rv s="12">
    <fb>116.32</fb>
    <v>32</v>
  </rv>
  <rv s="12">
    <fb>134.58000000000001</fb>
    <v>32</v>
  </rv>
  <rv s="12">
    <fb>432</fb>
    <v>35</v>
  </rv>
  <rv s="12">
    <fb>11.39</fb>
    <v>32</v>
  </rv>
  <rv s="12">
    <fb>112.675</fb>
    <v>32</v>
  </rv>
  <rv s="12">
    <fb>179.1086</fb>
    <v>33</v>
  </rv>
  <rv s="12">
    <fb>626.08759999999995</fb>
    <v>33</v>
  </rv>
  <rv s="12">
    <fb>22.45</fb>
    <v>32</v>
  </rv>
  <rv s="12">
    <fb>269.13249999999999</fb>
    <v>33</v>
  </rv>
  <rv s="12">
    <fb>675.87649999999996</fb>
    <v>33</v>
  </rv>
  <rv s="12">
    <fb>70.86</fb>
    <v>32</v>
  </rv>
  <rv s="12">
    <fb>127.2475</fb>
    <v>33</v>
  </rv>
  <rv s="12">
    <fb>247.893</fb>
    <v>33</v>
  </rv>
  <rv s="12">
    <fb>922.62</fb>
    <v>33</v>
  </rv>
  <rv s="12">
    <fb>57.38</fb>
    <v>32</v>
  </rv>
  <rv s="12">
    <fb>24.515000000000001</fb>
    <v>32</v>
  </rv>
  <rv s="12">
    <fb>159.52000000000001</fb>
    <v>33</v>
  </rv>
  <rv s="12">
    <fb>237.7311</fb>
    <v>33</v>
  </rv>
  <rv s="12">
    <fb>2.7364999999999999</fb>
    <v>32</v>
  </rv>
  <rv s="12">
    <fb>4.617</fb>
    <v>34</v>
  </rv>
  <rv s="12">
    <fb>87.54</fb>
    <v>34</v>
  </rv>
  <rv s="12">
    <fb>4.5461</fb>
    <v>32</v>
  </rv>
  <rv s="12">
    <fb>251.05</fb>
    <v>32</v>
  </rv>
  <rv s="12">
    <fb>267.80459999999999</fb>
    <v>33</v>
  </rv>
  <rv s="12">
    <fb>159.63</fb>
    <v>33</v>
  </rv>
  <rv s="12">
    <fb>297.06970000000001</fb>
    <v>33</v>
  </rv>
  <rv s="12">
    <fb>108.2912</fb>
    <v>33</v>
  </rv>
  <rv s="12">
    <fb>213.804</fb>
    <v>33</v>
  </rv>
  <rv s="12">
    <fb>13.43</fb>
    <v>32</v>
  </rv>
  <rv s="12">
    <fb>14.26</fb>
    <v>34</v>
  </rv>
  <rv s="12">
    <fb>24.01</fb>
    <v>34</v>
  </rv>
  <rv s="12">
    <fb>146.79</fb>
    <v>33</v>
  </rv>
  <rv s="12">
    <fb>123.51</fb>
    <v>33</v>
  </rv>
  <rv s="12">
    <fb>165.56</fb>
    <v>32</v>
  </rv>
  <rv s="12">
    <fb>401.98</fb>
    <v>32</v>
  </rv>
  <rv s="12">
    <fb>399.26</fb>
    <v>32</v>
  </rv>
  <rv s="12">
    <fb>134.27000000000001</fb>
    <v>32</v>
  </rv>
  <rv s="12">
    <fb>1044.9494999999999</fb>
    <v>33</v>
  </rv>
  <rv s="12">
    <fb>114.92</fb>
    <v>32</v>
  </rv>
  <rv s="12">
    <fb>133.19999999999999</fb>
    <v>32</v>
  </rv>
  <rv s="12">
    <fb>430</fb>
    <v>35</v>
  </rv>
  <rv s="12">
    <fb>11.44</fb>
    <v>32</v>
  </rv>
  <rv s="12">
    <fb>113.22</fb>
    <v>32</v>
  </rv>
  <rv s="12">
    <fb>179.97049999999999</fb>
    <v>33</v>
  </rv>
  <rv s="12">
    <fb>628.02629999999999</fb>
    <v>33</v>
  </rv>
  <rv s="12">
    <fb>22.59</fb>
    <v>32</v>
  </rv>
  <rv s="12">
    <fb>269.33620000000002</fb>
    <v>33</v>
  </rv>
  <rv s="12">
    <fb>673.37450000000001</fb>
    <v>33</v>
  </rv>
  <rv s="12">
    <fb>72.260000000000005</fb>
    <v>32</v>
  </rv>
  <rv s="12">
    <fb>127.5626</fb>
    <v>33</v>
  </rv>
  <rv s="12">
    <fb>249.10059999999999</fb>
    <v>33</v>
  </rv>
  <rv s="12">
    <fb>926.85</fb>
    <v>33</v>
  </rv>
  <rv s="12">
    <fb>57.4</fb>
    <v>32</v>
  </rv>
  <rv s="12">
    <fb>24.66</fb>
    <v>32</v>
  </rv>
  <rv s="12">
    <fb>161.19</fb>
    <v>33</v>
  </rv>
  <rv s="12">
    <fb>240.26089999999999</fb>
    <v>33</v>
  </rv>
  <rv s="12">
    <fb>2.7168999999999999</fb>
    <v>32</v>
  </rv>
  <rv s="12">
    <fb>4.6174999999999997</fb>
    <v>34</v>
  </rv>
  <rv s="12">
    <fb>87.52</fb>
    <v>34</v>
  </rv>
  <rv s="12">
    <fb>4.5350000000000001</fb>
    <v>32</v>
  </rv>
  <rv s="12">
    <fb>250.38</fb>
    <v>32</v>
  </rv>
  <rv s="12">
    <fb>268.24259999999998</fb>
    <v>33</v>
  </rv>
  <rv s="12">
    <fb>159.74</fb>
    <v>33</v>
  </rv>
  <rv s="12">
    <fb>297.58350000000002</fb>
    <v>33</v>
  </rv>
  <rv s="12">
    <fb>108.3964</fb>
    <v>33</v>
  </rv>
  <rv s="12">
    <fb>213.929</fb>
    <v>33</v>
  </rv>
  <rv s="12">
    <fb>13.426</fb>
    <v>32</v>
  </rv>
  <rv s="12">
    <fb>14.4</fb>
    <v>34</v>
  </rv>
  <rv s="12">
    <fb>24.25</fb>
    <v>34</v>
  </rv>
  <rv s="12">
    <fb>146.86000000000001</fb>
    <v>33</v>
  </rv>
  <rv s="12">
    <fb>168.97</fb>
    <v>32</v>
  </rv>
  <rv s="12">
    <fb>410.3</fb>
    <v>32</v>
  </rv>
  <rv s="12">
    <fb>407.7</fb>
    <v>32</v>
  </rv>
  <rv s="12">
    <fb>137.08000000000001</fb>
    <v>32</v>
  </rv>
  <rv s="12">
    <fb>114.98</fb>
    <v>34</v>
  </rv>
  <rv s="12">
    <fb>1052.8033</fb>
    <v>33</v>
  </rv>
  <rv s="12">
    <fb>117.26</fb>
    <v>32</v>
  </rv>
  <rv s="12">
    <fb>134.56</fb>
    <v>32</v>
  </rv>
  <rv s="12">
    <fb>11.472</fb>
    <v>32</v>
  </rv>
  <rv s="12">
    <fb>113.465</fb>
    <v>32</v>
  </rv>
  <rv s="12">
    <fb>180.2646</fb>
    <v>33</v>
  </rv>
  <rv s="12">
    <fb>629.75900000000001</fb>
    <v>33</v>
  </rv>
  <rv s="12">
    <fb>22.574999999999999</fb>
    <v>32</v>
  </rv>
  <rv s="12">
    <fb>270.26679999999999</fb>
    <v>33</v>
  </rv>
  <rv s="12">
    <fb>678.34069999999997</fb>
    <v>33</v>
  </rv>
  <rv s="12">
    <fb>72.12</fb>
    <v>32</v>
  </rv>
  <rv s="12">
    <fb>128.00110000000001</fb>
    <v>33</v>
  </rv>
  <rv s="12">
    <fb>249.8193</fb>
    <v>33</v>
  </rv>
  <rv s="12">
    <fb>929.58</fb>
    <v>33</v>
  </rv>
  <rv s="12">
    <fb>57.69</fb>
    <v>32</v>
  </rv>
  <rv s="12">
    <fb>24.844999999999999</fb>
    <v>32</v>
  </rv>
  <rv s="12">
    <fb>159.82</fb>
    <v>33</v>
  </rv>
  <rv s="12">
    <fb>240.63149999999999</fb>
    <v>33</v>
  </rv>
  <rv s="12">
    <fb>2.7551000000000001</fb>
    <v>32</v>
  </rv>
  <rv s="12">
    <fb>4.6795</fb>
    <v>34</v>
  </rv>
  <rv s="12">
    <fb>88.53</fb>
    <v>34</v>
  </rv>
  <rv s="12">
    <fb>4.5766</fb>
    <v>32</v>
  </rv>
  <rv s="12">
    <fb>252.66</fb>
    <v>32</v>
  </rv>
  <rv s="12">
    <fb>269.02659999999997</fb>
    <v>33</v>
  </rv>
  <rv s="12">
    <fb>159.88</fb>
    <v>33</v>
  </rv>
  <rv s="12">
    <fb>298.54140000000001</fb>
    <v>33</v>
  </rv>
  <rv s="12">
    <fb>108.515</fb>
    <v>33</v>
  </rv>
  <rv s="12">
    <fb>214.02799999999999</fb>
    <v>33</v>
  </rv>
  <rv s="12">
    <fb>13.388</fb>
    <v>32</v>
  </rv>
  <rv s="12">
    <fb>24.14</fb>
    <v>34</v>
  </rv>
  <rv s="12">
    <fb>146.99</fb>
    <v>33</v>
  </rv>
  <rv s="12">
    <fb>123.83</fb>
    <v>33</v>
  </rv>
  <rv s="12">
    <fb>405.88</fb>
    <v>32</v>
  </rv>
  <rv s="12">
    <fb>403.1</fb>
    <v>32</v>
  </rv>
  <rv s="12">
    <fb>135.51</fb>
    <v>32</v>
  </rv>
  <rv s="12">
    <fb>115.13</fb>
    <v>34</v>
  </rv>
  <rv s="12">
    <fb>1054.1159</fb>
    <v>33</v>
  </rv>
  <rv s="12">
    <fb>117.34</fb>
    <v>32</v>
  </rv>
  <rv s="12">
    <fb>134.96</fb>
    <v>32</v>
  </rv>
  <rv s="12">
    <fb>429</fb>
    <v>35</v>
  </rv>
  <rv s="12">
    <fb>11.492000000000001</fb>
    <v>32</v>
  </rv>
  <rv s="12">
    <fb>113.405</fb>
    <v>32</v>
  </rv>
  <rv s="12">
    <fb>179.75649999999999</fb>
    <v>33</v>
  </rv>
  <rv s="12">
    <fb>629.69010000000003</fb>
    <v>33</v>
  </rv>
  <rv s="12">
    <fb>22.69</fb>
    <v>32</v>
  </rv>
  <rv s="12">
    <fb>270.9751</fb>
    <v>33</v>
  </rv>
  <rv s="12">
    <fb>679.49310000000003</fb>
    <v>33</v>
  </rv>
  <rv s="12">
    <fb>71.790000000000006</fb>
    <v>32</v>
  </rv>
  <rv s="12">
    <fb>124.1905</fb>
    <v>33</v>
  </rv>
  <rv s="12">
    <fb>249.97380000000001</fb>
    <v>33</v>
  </rv>
  <rv s="12">
    <fb>928.42</fb>
    <v>33</v>
  </rv>
  <rv s="12">
    <fb>58.23</fb>
    <v>32</v>
  </rv>
  <rv s="12">
    <fb>25.045000000000002</fb>
    <v>32</v>
  </rv>
  <rv s="12">
    <fb>163.68</fb>
    <v>33</v>
  </rv>
  <rv s="12">
    <fb>243.98769999999999</fb>
    <v>33</v>
  </rv>
  <rv s="12">
    <fb>2.7541000000000002</fb>
    <v>32</v>
  </rv>
  <rv s="12">
    <fb>4.6680000000000001</fb>
    <v>34</v>
  </rv>
  <rv s="12">
    <fb>88.06</fb>
    <v>34</v>
  </rv>
  <rv s="12">
    <fb>4.5959000000000003</fb>
    <v>32</v>
  </rv>
  <rv s="12">
    <fb>253.91</fb>
    <v>32</v>
  </rv>
  <rv s="12">
    <fb>268.79050000000001</fb>
    <v>33</v>
  </rv>
  <rv s="12">
    <fb>159.81</fb>
    <v>33</v>
  </rv>
  <rv s="12">
    <fb>298.31420000000003</fb>
    <v>33</v>
  </rv>
  <rv s="12">
    <fb>108.43210000000001</fb>
    <v>33</v>
  </rv>
  <rv s="12">
    <fb>213.94800000000001</fb>
    <v>33</v>
  </rv>
  <rv s="12">
    <fb>13.51</fb>
    <v>32</v>
  </rv>
  <rv s="12">
    <fb>14.49</fb>
    <v>34</v>
  </rv>
  <rv s="12">
    <fb>24.37</fb>
    <v>34</v>
  </rv>
  <rv s="12">
    <fb>146.93</fb>
    <v>33</v>
  </rv>
  <rv s="12">
    <fb>169.36</fb>
    <v>32</v>
  </rv>
  <rv s="12">
    <fb>411.26</fb>
    <v>32</v>
  </rv>
  <rv s="12">
    <fb>408.6</fb>
    <v>32</v>
  </rv>
  <rv s="12">
    <fb>137.31</fb>
    <v>32</v>
  </rv>
  <rv s="12">
    <fb>115.11</fb>
    <v>34</v>
  </rv>
  <rv s="12">
    <fb>1055.316</fb>
    <v>33</v>
  </rv>
  <rv s="12">
    <fb>117.28</fb>
    <v>32</v>
  </rv>
  <rv s="12">
    <fb>135.06</fb>
    <v>32</v>
  </rv>
  <rv s="12">
    <fb>423</fb>
    <v>35</v>
  </rv>
  <rv s="12">
    <fb>11.486000000000001</fb>
    <v>32</v>
  </rv>
  <rv s="12">
    <fb>112.39</fb>
    <v>32</v>
  </rv>
  <rv s="12">
    <fb>177.99019999999999</fb>
    <v>33</v>
  </rv>
  <rv s="12">
    <fb>625.36329999999998</fb>
    <v>33</v>
  </rv>
  <rv s="12">
    <fb>22.495000000000001</fb>
    <v>32</v>
  </rv>
  <rv s="12">
    <fb>270.18689999999998</fb>
    <v>33</v>
  </rv>
  <rv s="12">
    <fb>679.149</fb>
    <v>33</v>
  </rv>
  <rv s="12">
    <fb>70.83</fb>
    <v>32</v>
  </rv>
  <rv s="12">
    <fb>120.7448</fb>
    <v>33</v>
  </rv>
  <rv s="12">
    <fb>245.7945</fb>
    <v>33</v>
  </rv>
  <rv s="12">
    <fb>920.35</fb>
    <v>33</v>
  </rv>
  <rv s="12">
    <fb>57.81</fb>
    <v>32</v>
  </rv>
  <rv s="12">
    <fb>24.84</fb>
    <v>32</v>
  </rv>
  <rv s="12">
    <fb>244.1054</fb>
    <v>33</v>
  </rv>
  <rv s="12">
    <fb>2.7707999999999999</fb>
    <v>32</v>
  </rv>
  <rv s="12">
    <fb>4.6929999999999996</fb>
    <v>34</v>
  </rv>
  <rv s="12">
    <fb>89.23</fb>
    <v>34</v>
  </rv>
  <rv s="12">
    <fb>4.609</fb>
    <v>32</v>
  </rv>
  <rv s="12">
    <fb>254.65</fb>
    <v>32</v>
  </rv>
  <rv s="12">
    <fb>269.82319999999999</fb>
    <v>33</v>
  </rv>
  <rv s="12">
    <fb>160.05000000000001</fb>
    <v>33</v>
  </rv>
  <rv s="12">
    <fb>299.36590000000001</fb>
    <v>33</v>
  </rv>
  <rv s="12">
    <fb>108.58459999999999</fb>
    <v>33</v>
  </rv>
  <rv s="12">
    <fb>213.92500000000001</fb>
    <v>33</v>
  </rv>
  <rv s="12">
    <fb>13.31</fb>
    <v>32</v>
  </rv>
  <rv s="12">
    <fb>14.16</fb>
    <v>34</v>
  </rv>
  <rv s="12">
    <fb>23.8</fb>
    <v>34</v>
  </rv>
  <rv s="12">
    <fb>147.15</fb>
    <v>33</v>
  </rv>
  <rv s="12">
    <fb>165.18</fb>
    <v>32</v>
  </rv>
  <rv s="12">
    <fb>400.36</fb>
    <v>32</v>
  </rv>
  <rv s="12">
    <fb>398.12</fb>
    <v>32</v>
  </rv>
  <rv s="12">
    <fb>133.71</fb>
    <v>32</v>
  </rv>
  <rv s="12">
    <fb>115.94</fb>
    <v>34</v>
  </rv>
  <rv s="12">
    <fb>1049.4413</fb>
    <v>33</v>
  </rv>
  <rv s="12">
    <fb>117.9</fb>
    <v>32</v>
  </rv>
  <rv s="12">
    <fb>135.32</fb>
    <v>32</v>
  </rv>
  <rv s="12">
    <fb>424</fb>
    <v>35</v>
  </rv>
  <rv s="12">
    <fb>11.38</fb>
    <v>32</v>
  </rv>
  <rv s="12">
    <fb>112.255</fb>
    <v>32</v>
  </rv>
  <rv s="12">
    <fb>177.8237</fb>
    <v>33</v>
  </rv>
  <rv s="12">
    <fb>624.63289999999995</fb>
    <v>33</v>
  </rv>
  <rv s="12">
    <fb>22.645</fb>
    <v>32</v>
  </rv>
  <rv s="12">
    <fb>268.7647</fb>
    <v>33</v>
  </rv>
  <rv s="12">
    <fb>665.69219999999996</fb>
    <v>33</v>
  </rv>
  <rv s="12">
    <fb>70.67</fb>
    <v>32</v>
  </rv>
  <rv s="12">
    <fb>122.36450000000001</fb>
    <v>33</v>
  </rv>
  <rv s="12">
    <fb>244.97139999999999</fb>
    <v>33</v>
  </rv>
  <rv s="12">
    <fb>918.19</fb>
    <v>33</v>
  </rv>
  <rv s="12">
    <fb>57.65</fb>
    <v>32</v>
  </rv>
  <rv s="12">
    <fb>24.745000000000001</fb>
    <v>32</v>
  </rv>
  <rv s="12">
    <fb>243.59270000000001</fb>
    <v>33</v>
  </rv>
  <rv s="12">
    <fb>2.7999000000000001</fb>
    <v>32</v>
  </rv>
  <rv s="12">
    <fb>4.7435</fb>
    <v>34</v>
  </rv>
  <rv s="12">
    <fb>89.72</fb>
    <v>34</v>
  </rv>
  <rv s="12">
    <fb>4.6261000000000001</fb>
    <v>32</v>
  </rv>
  <rv s="12">
    <fb>255.27</fb>
    <v>32</v>
  </rv>
  <rv s="12">
    <fb>271.15620000000001</fb>
    <v>33</v>
  </rv>
  <rv s="12">
    <fb>160.29</fb>
    <v>33</v>
  </rv>
  <rv s="12">
    <fb>300.3331</fb>
    <v>33</v>
  </rv>
  <rv s="12">
    <fb>108.70820000000001</fb>
    <v>33</v>
  </rv>
  <rv s="12">
    <fb>213.91900000000001</fb>
    <v>33</v>
  </rv>
  <rv s="12">
    <fb>13.28</fb>
    <v>32</v>
  </rv>
  <rv s="12">
    <fb>14.17</fb>
    <v>34</v>
  </rv>
  <rv s="12">
    <fb>23.88</fb>
    <v>34</v>
  </rv>
  <rv s="12">
    <fb>147.37</fb>
    <v>33</v>
  </rv>
  <rv s="12">
    <fb>124.42</fb>
    <v>33</v>
  </rv>
  <rv s="12">
    <fb>167.54</fb>
    <v>32</v>
  </rv>
  <rv s="12">
    <fb>406.66</fb>
    <v>32</v>
  </rv>
  <rv s="12">
    <fb>404.06</fb>
    <v>32</v>
  </rv>
  <rv s="12">
    <fb>135.83000000000001</fb>
    <v>32</v>
  </rv>
  <rv s="12">
    <fb>116.14</fb>
    <v>34</v>
  </rv>
  <rv s="12">
    <fb>1047.6411000000001</fb>
    <v>33</v>
  </rv>
  <rv s="12">
    <fb>117.78</fb>
    <v>32</v>
  </rv>
  <rv s="12">
    <fb>135.18</fb>
    <v>32</v>
  </rv>
  <rv s="12">
    <fb>423.5</fb>
    <v>35</v>
  </rv>
  <rv s="12">
    <fb>11.366</fb>
    <v>32</v>
  </rv>
  <rv s="12">
    <fb>112</fb>
    <v>32</v>
  </rv>
  <rv s="12">
    <fb>177.49789999999999</fb>
    <v>33</v>
  </rv>
  <rv s="12">
    <fb>624.05870000000004</fb>
    <v>33</v>
  </rv>
  <rv s="12">
    <fb>268.90839999999997</fb>
    <v>33</v>
  </rv>
  <rv s="12">
    <fb>672.87369999999999</fb>
    <v>33</v>
  </rv>
  <rv s="12">
    <fb>70.73</fb>
    <v>32</v>
  </rv>
  <rv s="12">
    <fb>120.86499999999999</fb>
    <v>33</v>
  </rv>
  <rv s="12">
    <fb>243.73269999999999</fb>
    <v>33</v>
  </rv>
  <rv s="12">
    <fb>915.14</fb>
    <v>33</v>
  </rv>
  <rv s="12">
    <fb>57.24</fb>
    <v>32</v>
  </rv>
  <rv s="12">
    <fb>24.875</fb>
    <v>32</v>
  </rv>
  <rv s="12">
    <fb>243.89959999999999</fb>
    <v>33</v>
  </rv>
  <rv s="12">
    <fb>2.8107000000000002</fb>
    <v>32</v>
  </rv>
  <rv s="12">
    <fb>4.7565</fb>
    <v>34</v>
  </rv>
  <rv s="12">
    <fb>4.6227</fb>
    <v>32</v>
  </rv>
  <rv s="12">
    <fb>255.29</fb>
    <v>32</v>
  </rv>
  <rv s="12">
    <fb>271.39339999999999</fb>
    <v>33</v>
  </rv>
  <rv s="12">
    <fb>160.38</fb>
    <v>33</v>
  </rv>
  <rv s="12">
    <fb>108.7363</fb>
    <v>33</v>
  </rv>
  <rv s="12">
    <fb>13.324</fb>
    <v>32</v>
  </rv>
  <rv s="12">
    <fb>147.41</fb>
    <v>33</v>
  </rv>
  <rv s="12">
    <fb>124.82</fb>
    <v>33</v>
  </rv>
  <rv s="12">
    <fb>166.82</fb>
    <v>32</v>
  </rv>
  <rv s="12">
    <fb>405.06</fb>
    <v>32</v>
  </rv>
  <rv s="12">
    <fb>402.42</fb>
    <v>32</v>
  </rv>
  <rv s="12">
    <fb>116.08</fb>
    <v>34</v>
  </rv>
  <rv s="12">
    <fb>1047.9974</fb>
    <v>33</v>
  </rv>
  <rv s="12">
    <fb>118.3</fb>
    <v>32</v>
  </rv>
  <rv s="12">
    <fb>135.56</fb>
    <v>32</v>
  </rv>
  <rv s="12">
    <fb>427</fb>
    <v>35</v>
  </rv>
  <rv s="12">
    <fb>11.385999999999999</fb>
    <v>32</v>
  </rv>
  <rv s="12">
    <fb>112.33499999999999</fb>
    <v>32</v>
  </rv>
  <rv s="12">
    <fb>177.96100000000001</fb>
    <v>33</v>
  </rv>
  <rv s="12">
    <fb>625.79510000000005</fb>
    <v>33</v>
  </rv>
  <rv s="12">
    <fb>22.57</fb>
    <v>32</v>
  </rv>
  <rv s="12">
    <fb>269.78219999999999</fb>
    <v>33</v>
  </rv>
  <rv s="12">
    <fb>670.65639999999996</fb>
    <v>33</v>
  </rv>
  <rv s="12">
    <fb>71.099999999999994</fb>
    <v>32</v>
  </rv>
  <rv s="12">
    <fb>119.30629999999999</fb>
    <v>33</v>
  </rv>
  <rv s="12">
    <fb>244.6482</fb>
    <v>33</v>
  </rv>
  <rv s="12">
    <fb>918.76</fb>
    <v>33</v>
  </rv>
  <rv s="12">
    <fb>57.57</fb>
    <v>32</v>
  </rv>
  <rv s="12">
    <fb>24.8</fb>
    <v>32</v>
  </rv>
  <rv s="12">
    <fb>245.50880000000001</fb>
    <v>33</v>
  </rv>
  <rv s="12">
    <fb>2.8168000000000002</fb>
    <v>32</v>
  </rv>
  <rv s="12">
    <fb>4.7554999999999996</fb>
    <v>34</v>
  </rv>
  <rv s="12">
    <fb>89.87</fb>
    <v>34</v>
  </rv>
  <rv s="12">
    <fb>4.6532</fb>
    <v>32</v>
  </rv>
  <rv s="12">
    <fb>256.79000000000002</fb>
    <v>32</v>
  </rv>
  <rv s="12">
    <fb>271.66840000000002</fb>
    <v>33</v>
  </rv>
  <rv s="12">
    <fb>160.44</fb>
    <v>33</v>
  </rv>
  <rv s="12">
    <fb>300.48559999999998</fb>
    <v>33</v>
  </rv>
  <rv s="12">
    <fb>108.7008</fb>
    <v>33</v>
  </rv>
  <rv s="12">
    <fb>213.959</fb>
    <v>33</v>
  </rv>
  <rv s="12">
    <fb>13.202</fb>
    <v>32</v>
  </rv>
  <rv s="12">
    <fb>14.03</fb>
    <v>34</v>
  </rv>
  <rv s="12">
    <fb>23.59</fb>
    <v>34</v>
  </rv>
  <rv s="12">
    <fb>147.46</fb>
    <v>33</v>
  </rv>
  <rv s="12">
    <fb>125.04</fb>
    <v>33</v>
  </rv>
  <rv s="12">
    <fb>163.47999999999999</fb>
    <v>32</v>
  </rv>
  <rv s="12">
    <fb>396.94</fb>
    <v>32</v>
  </rv>
  <rv s="12">
    <fb>394.34</fb>
    <v>32</v>
  </rv>
  <rv s="12">
    <fb>132.54</fb>
    <v>32</v>
  </rv>
  <rv s="12">
    <fb>115.78</fb>
    <v>34</v>
  </rv>
  <rv s="12">
    <fb>1047.3680999999999</fb>
    <v>33</v>
  </rv>
  <rv s="12">
    <fb>118.86</fb>
    <v>32</v>
  </rv>
  <rv s="12">
    <fb>136.02000000000001</fb>
    <v>32</v>
  </rv>
  <rv s="12">
    <fb>427.5</fb>
    <v>35</v>
  </rv>
  <rv s="12">
    <fb>113.545</fb>
    <v>32</v>
  </rv>
  <rv s="12">
    <fb>179.49100000000001</fb>
    <v>33</v>
  </rv>
  <rv s="12">
    <fb>630.94119999999998</fb>
    <v>33</v>
  </rv>
  <rv s="12">
    <fb>22.91</fb>
    <v>32</v>
  </rv>
  <rv s="12">
    <fb>270.27370000000002</fb>
    <v>33</v>
  </rv>
  <rv s="12">
    <fb>678.98230000000001</fb>
    <v>33</v>
  </rv>
  <rv s="12">
    <fb>120.539</fb>
    <v>33</v>
  </rv>
  <rv s="12">
    <fb>246.00120000000001</fb>
    <v>33</v>
  </rv>
  <rv s="12">
    <fb>927.34</fb>
    <v>33</v>
  </rv>
  <rv s="12">
    <fb>58.14</fb>
    <v>32</v>
  </rv>
  <rv s="12">
    <fb>25.225000000000001</fb>
    <v>32</v>
  </rv>
  <rv s="12">
    <fb>245.4674</fb>
    <v>33</v>
  </rv>
  <rv s="12">
    <fb>2.8159000000000001</fb>
    <v>32</v>
  </rv>
  <rv s="12">
    <fb>4.7504999999999997</fb>
    <v>34</v>
  </rv>
  <rv s="12">
    <fb>89.53</fb>
    <v>34</v>
  </rv>
  <rv s="12">
    <fb>4.6631999999999998</fb>
    <v>32</v>
  </rv>
  <rv s="12">
    <fb>257.29000000000002</fb>
    <v>32</v>
  </rv>
  <rv s="12">
    <fb>271.82220000000001</fb>
    <v>33</v>
  </rv>
  <rv s="12">
    <fb>160.47</fb>
    <v>33</v>
  </rv>
  <rv s="12">
    <fb>300.97579999999999</fb>
    <v>33</v>
  </rv>
  <rv s="12">
    <fb>108.6743</fb>
    <v>33</v>
  </rv>
  <rv s="12">
    <fb>214.184</fb>
    <v>33</v>
  </rv>
  <rv s="12">
    <fb>13.464</fb>
    <v>32</v>
  </rv>
  <rv s="12">
    <fb>14.41</fb>
    <v>34</v>
  </rv>
  <rv s="12">
    <fb>24.21</fb>
    <v>34</v>
  </rv>
  <rv s="12">
    <fb>147.43</fb>
    <v>33</v>
  </rv>
  <rv s="12">
    <fb>124.56</fb>
    <v>33</v>
  </rv>
  <rv s="12">
    <fb>167.84</fb>
    <v>32</v>
  </rv>
  <rv s="12">
    <fb>407.58</fb>
    <v>32</v>
  </rv>
  <rv s="12">
    <fb>404.92</fb>
    <v>32</v>
  </rv>
  <rv s="12">
    <fb>136.09</fb>
    <v>32</v>
  </rv>
  <rv s="12">
    <fb>115.45</fb>
    <v>34</v>
  </rv>
  <rv s="12">
    <fb>1049.5281</fb>
    <v>33</v>
  </rv>
  <rv s="12">
    <fb>118.72</fb>
    <v>32</v>
  </rv>
  <rv s="12">
    <fb>135.78</fb>
    <v>32</v>
  </rv>
  <rv s="12">
    <fb>428.5</fb>
    <v>35</v>
  </rv>
  <rv s="12">
    <fb>113.35</fb>
    <v>32</v>
  </rv>
  <rv s="12">
    <fb>179.39519999999999</fb>
    <v>33</v>
  </rv>
  <rv s="12">
    <fb>629.66719999999998</fb>
    <v>33</v>
  </rv>
  <rv s="12">
    <fb>22.805</fb>
    <v>32</v>
  </rv>
  <rv s="12">
    <fb>270.4502</fb>
    <v>33</v>
  </rv>
  <rv s="12">
    <fb>676.84450000000004</fb>
    <v>33</v>
  </rv>
  <rv s="12">
    <fb>72.099999999999994</fb>
    <v>32</v>
  </rv>
  <rv s="12">
    <fb>121.8719</fb>
    <v>33</v>
  </rv>
  <rv s="12">
    <fb>247.33330000000001</fb>
    <v>33</v>
  </rv>
  <rv s="12">
    <fb>928.76</fb>
    <v>33</v>
  </rv>
  <rv s="12">
    <fb>57.94</fb>
    <v>32</v>
  </rv>
  <rv s="12">
    <fb>25.015000000000001</fb>
    <v>32</v>
  </rv>
  <rv s="12">
    <fb>248.04220000000001</fb>
    <v>33</v>
  </rv>
  <rv s="12">
    <fb>2.819</fb>
    <v>32</v>
  </rv>
  <rv s="12">
    <fb>4.7365000000000004</fb>
    <v>34</v>
  </rv>
  <rv s="12">
    <fb>89.62</fb>
    <v>34</v>
  </rv>
  <rv s="12">
    <fb>4.6612</fb>
    <v>32</v>
  </rv>
  <rv s="12">
    <fb>257.02</fb>
    <v>32</v>
  </rv>
  <rv s="12">
    <fb>270.90129999999999</fb>
    <v>33</v>
  </rv>
  <rv s="12">
    <fb>160.27000000000001</fb>
    <v>33</v>
  </rv>
  <rv s="12">
    <fb>299.96210000000002</fb>
    <v>33</v>
  </rv>
  <rv s="12">
    <fb>108.667</fb>
    <v>33</v>
  </rv>
  <rv s="12">
    <fb>214.215</fb>
    <v>33</v>
  </rv>
  <rv s="12">
    <fb>13.63</fb>
    <v>32</v>
  </rv>
  <rv s="12">
    <fb>14.53</fb>
    <v>34</v>
  </rv>
  <rv s="12">
    <fb>124.73</fb>
    <v>33</v>
  </rv>
  <rv s="12">
    <fb>168.48</fb>
    <v>32</v>
  </rv>
  <rv s="12">
    <fb>409.04</fb>
    <v>32</v>
  </rv>
  <rv s="12">
    <fb>406.34</fb>
    <v>32</v>
  </rv>
  <rv s="12">
    <fb>115.71</fb>
    <v>34</v>
  </rv>
  <rv s="12">
    <fb>1046.7369000000001</fb>
    <v>33</v>
  </rv>
  <rv s="12">
    <fb>117.82</fb>
    <v>32</v>
  </rv>
  <rv s="12">
    <fb>135.4</fb>
    <v>32</v>
  </rv>
  <rv s="12">
    <fb>425.5</fb>
    <v>35</v>
  </rv>
  <rv s="12">
    <fb>11.548</fb>
    <v>32</v>
  </rv>
  <rv s="12">
    <fb>113.76</fb>
    <v>32</v>
  </rv>
  <rv s="12">
    <fb>180.7647</fb>
    <v>33</v>
  </rv>
  <rv s="12">
    <fb>635.33079999999995</fb>
    <v>33</v>
  </rv>
  <rv s="12">
    <fb>22.8</fb>
    <v>32</v>
  </rv>
  <rv s="12">
    <fb>272.11489999999998</fb>
    <v>33</v>
  </rv>
  <rv s="12">
    <fb>682.2473</fb>
    <v>33</v>
  </rv>
  <rv s="12">
    <fb>72.62</fb>
    <v>32</v>
  </rv>
  <rv s="12">
    <fb>122.62439999999999</fb>
    <v>33</v>
  </rv>
  <rv s="12">
    <fb>249.91759999999999</fb>
    <v>33</v>
  </rv>
  <rv s="12">
    <fb>936.22</fb>
    <v>33</v>
  </rv>
  <rv s="12">
    <fb>58.08</fb>
    <v>32</v>
  </rv>
  <rv s="12">
    <fb>25.5</fb>
    <v>32</v>
  </rv>
  <rv s="12">
    <fb>248.04050000000001</fb>
    <v>33</v>
  </rv>
  <rv s="12">
    <fb>2.8096999999999999</fb>
    <v>32</v>
  </rv>
  <rv s="12">
    <fb>4.7270000000000003</fb>
    <v>34</v>
  </rv>
  <rv s="12">
    <fb>89.41</fb>
    <v>34</v>
  </rv>
  <rv s="12">
    <fb>4.6767000000000003</fb>
    <v>32</v>
  </rv>
  <rv s="12">
    <fb>258.18</fb>
    <v>32</v>
  </rv>
  <rv s="12">
    <fb>270.29469999999998</fb>
    <v>33</v>
  </rv>
  <rv s="12">
    <fb>160.16</fb>
    <v>33</v>
  </rv>
  <rv s="12">
    <fb>299.404</fb>
    <v>33</v>
  </rv>
  <rv s="12">
    <fb>108.6784</fb>
    <v>33</v>
  </rv>
  <rv s="12">
    <fb>214.29499999999999</fb>
    <v>33</v>
  </rv>
  <rv s="12">
    <fb>13.704000000000001</fb>
    <v>32</v>
  </rv>
  <rv s="12">
    <fb>14.64</fb>
    <v>34</v>
  </rv>
  <rv s="12">
    <fb>24.6</fb>
    <v>34</v>
  </rv>
  <rv s="12">
    <fb>147.03</fb>
    <v>33</v>
  </rv>
  <rv s="12">
    <fb>124.85</fb>
    <v>33</v>
  </rv>
  <rv s="12">
    <fb>170.54</fb>
    <v>32</v>
  </rv>
  <rv s="12">
    <fb>414.16</fb>
    <v>32</v>
  </rv>
  <rv s="12">
    <fb>411.6</fb>
    <v>32</v>
  </rv>
  <rv s="12">
    <fb>138.38</fb>
    <v>32</v>
  </rv>
  <rv s="12">
    <fb>115.55</fb>
    <v>34</v>
  </rv>
  <rv s="12">
    <fb>1049.1815999999999</fb>
    <v>33</v>
  </rv>
  <rv s="12">
    <fb>135.34</fb>
    <v>32</v>
  </rv>
  <rv s="12">
    <fb>426</fb>
    <v>35</v>
  </rv>
  <rv s="12">
    <fb>11.456</fb>
    <v>32</v>
  </rv>
  <rv s="12">
    <fb>112.925</fb>
    <v>32</v>
  </rv>
  <rv s="12">
    <fb>179.43870000000001</fb>
    <v>33</v>
  </rv>
  <rv s="12">
    <fb>632.32050000000004</fb>
    <v>33</v>
  </rv>
  <rv s="12">
    <fb>22.555</fb>
    <v>32</v>
  </rv>
  <rv s="12">
    <fb>270.80290000000002</fb>
    <v>33</v>
  </rv>
  <rv s="12">
    <fb>684.34690000000001</fb>
    <v>33</v>
  </rv>
  <rv s="12">
    <fb>71.75</fb>
    <v>32</v>
  </rv>
  <rv s="12">
    <fb>120.4186</fb>
    <v>33</v>
  </rv>
  <rv s="12">
    <fb>248.71469999999999</fb>
    <v>33</v>
  </rv>
  <rv s="12">
    <fb>931.76</fb>
    <v>33</v>
  </rv>
  <rv s="12">
    <fb>57.85</fb>
    <v>32</v>
  </rv>
  <rv s="12">
    <fb>25.445</fb>
    <v>32</v>
  </rv>
  <rv s="12">
    <fb>168.21</fb>
    <v>33</v>
  </rv>
  <rv s="12">
    <fb>251.01060000000001</fb>
    <v>33</v>
  </rv>
  <rv s="12">
    <fb>2.8249</fb>
    <v>32</v>
  </rv>
  <rv s="12">
    <fb>89.74</fb>
    <v>34</v>
  </rv>
  <rv s="12">
    <fb>4.6863999999999999</fb>
    <v>32</v>
  </rv>
  <rv s="12">
    <fb>258.69</fb>
    <v>32</v>
  </rv>
  <rv s="12">
    <fb>270.60809999999998</fb>
    <v>33</v>
  </rv>
  <rv s="12">
    <fb>160.22</fb>
    <v>33</v>
  </rv>
  <rv s="12">
    <fb>299.79629999999997</fb>
    <v>33</v>
  </rv>
  <rv s="12">
    <fb>108.8511</fb>
    <v>33</v>
  </rv>
  <rv s="12">
    <fb>214.28800000000001</fb>
    <v>33</v>
  </rv>
  <rv s="12">
    <fb>13.756</fb>
    <v>32</v>
  </rv>
  <rv s="12">
    <fb>14.71</fb>
    <v>34</v>
  </rv>
  <rv s="12">
    <fb>24.75</fb>
    <v>34</v>
  </rv>
  <rv s="12">
    <fb>147.09</fb>
    <v>33</v>
  </rv>
  <rv s="12">
    <fb>124.84</fb>
    <v>33</v>
  </rv>
  <rv s="12">
    <fb>175.15</fb>
    <v>32</v>
  </rv>
  <rv s="12">
    <fb>425.14</fb>
    <v>32</v>
  </rv>
  <rv s="12">
    <fb>422.36</fb>
    <v>32</v>
  </rv>
  <rv s="12">
    <fb>141.99</fb>
    <v>32</v>
  </rv>
  <rv s="12">
    <fb>116.07</fb>
    <v>34</v>
  </rv>
  <rv s="12">
    <fb>1049.2230999999999</fb>
    <v>33</v>
  </rv>
  <rv s="12">
    <fb>117.22</fb>
    <v>32</v>
  </rv>
  <rv s="12">
    <fb>135.08000000000001</fb>
    <v>32</v>
  </rv>
  <rv s="12">
    <fb>11.534000000000001</fb>
    <v>32</v>
  </rv>
  <rv s="12">
    <fb>113.425</fb>
    <v>32</v>
  </rv>
  <rv s="12">
    <fb>180.78440000000001</fb>
    <v>33</v>
  </rv>
  <rv s="12">
    <fb>637.38329999999996</fb>
    <v>33</v>
  </rv>
  <rv s="12">
    <fb>22.68</fb>
    <v>32</v>
  </rv>
  <rv s="12">
    <fb>271.69310000000002</fb>
    <v>33</v>
  </rv>
  <rv s="12">
    <fb>684.30769999999995</fb>
    <v>33</v>
  </rv>
  <rv s="12">
    <fb>71.88</fb>
    <v>32</v>
  </rv>
  <rv s="12">
    <fb>121.0575</fb>
    <v>33</v>
  </rv>
  <rv s="12">
    <fb>251.14340000000001</fb>
    <v>33</v>
  </rv>
  <rv s="12">
    <fb>941.34</fb>
    <v>33</v>
  </rv>
  <rv s="12">
    <fb>25.815000000000001</fb>
    <v>32</v>
  </rv>
  <rv s="12">
    <fb>169.23</fb>
    <v>33</v>
  </rv>
  <rv s="12">
    <fb>252.5899</fb>
    <v>33</v>
  </rv>
  <rv s="12">
    <fb>2.8288000000000002</fb>
    <v>32</v>
  </rv>
  <rv s="12">
    <fb>4.7610000000000001</fb>
    <v>34</v>
  </rv>
  <rv s="12">
    <fb>89.9</fb>
    <v>34</v>
  </rv>
  <rv s="12">
    <fb>4.6943999999999999</fb>
    <v>32</v>
  </rv>
  <rv s="12">
    <fb>259.41000000000003</fb>
    <v>32</v>
  </rv>
  <rv s="12">
    <fb>271.17689999999999</fb>
    <v>33</v>
  </rv>
  <rv s="12">
    <fb>300.03210000000001</fb>
    <v>33</v>
  </rv>
  <rv s="12">
    <fb>108.7851</fb>
    <v>33</v>
  </rv>
  <rv s="12">
    <fb>214.23400000000001</fb>
    <v>33</v>
  </rv>
  <rv s="12">
    <fb>13.754</fb>
    <v>32</v>
  </rv>
  <rv s="12">
    <fb>14.7</fb>
    <v>34</v>
  </rv>
  <rv s="12">
    <fb>24.72</fb>
    <v>34</v>
  </rv>
  <rv s="12">
    <fb>147.21</fb>
    <v>33</v>
  </rv>
  <rv s="12">
    <fb>124.98</fb>
    <v>33</v>
  </rv>
  <rv s="12">
    <fb>172.88</fb>
    <v>32</v>
  </rv>
  <rv s="12">
    <fb>419.8</fb>
    <v>32</v>
  </rv>
  <rv s="12">
    <fb>417.06</fb>
    <v>32</v>
  </rv>
  <rv s="12">
    <fb>140.25</fb>
    <v>32</v>
  </rv>
  <rv s="12">
    <fb>115.64</fb>
    <v>34</v>
  </rv>
  <rv s="12">
    <fb>1051.9223</fb>
    <v>33</v>
  </rv>
  <rv s="12">
    <fb>118.48</fb>
    <v>32</v>
  </rv>
  <rv s="12">
    <fb>135.96</fb>
    <v>32</v>
  </rv>
  <rv s="12">
    <fb>11.622</fb>
    <v>32</v>
  </rv>
  <rv s="12">
    <fb>114.27</fb>
    <v>32</v>
  </rv>
  <rv s="12">
    <fb>181.06450000000001</fb>
    <v>33</v>
  </rv>
  <rv s="12">
    <fb>638.18150000000003</fb>
    <v>33</v>
  </rv>
  <rv s="12">
    <fb>22.76</fb>
    <v>32</v>
  </rv>
  <rv s="12">
    <fb>272.7783</fb>
    <v>33</v>
  </rv>
  <rv s="12">
    <fb>688.02549999999997</fb>
    <v>33</v>
  </rv>
  <rv s="12">
    <fb>73.05</fb>
    <v>32</v>
  </rv>
  <rv s="12">
    <fb>120.8664</fb>
    <v>33</v>
  </rv>
  <rv s="12">
    <fb>251.72389999999999</fb>
    <v>33</v>
  </rv>
  <rv s="12">
    <fb>942.94</fb>
    <v>33</v>
  </rv>
  <rv s="12">
    <fb>58.36</fb>
    <v>32</v>
  </rv>
  <rv s="12">
    <fb>25.96</fb>
    <v>32</v>
  </rv>
  <rv s="12">
    <fb>171.15</fb>
    <v>33</v>
  </rv>
  <rv s="12">
    <fb>255.1069</fb>
    <v>33</v>
  </rv>
  <rv s="12">
    <fb>2.8245</fb>
    <v>32</v>
  </rv>
  <rv s="12">
    <fb>4.7619999999999996</fb>
    <v>34</v>
  </rv>
  <rv s="12">
    <fb>89.91</fb>
    <v>34</v>
  </rv>
  <rv s="12">
    <fb>4.6985999999999999</fb>
    <v>32</v>
  </rv>
  <rv s="12">
    <fb>259.68</fb>
    <v>32</v>
  </rv>
  <rv s="12">
    <fb>271.05410000000001</fb>
    <v>33</v>
  </rv>
  <rv s="12">
    <fb>160.41999999999999</fb>
    <v>33</v>
  </rv>
  <rv s="12">
    <fb>300.09539999999998</fb>
    <v>33</v>
  </rv>
  <rv s="12">
    <fb>108.75660000000001</fb>
    <v>33</v>
  </rv>
  <rv s="12">
    <fb>214.333</fb>
    <v>33</v>
  </rv>
  <rv s="12">
    <fb>13.766</fb>
    <v>32</v>
  </rv>
  <rv s="12">
    <fb>147.26</fb>
    <v>33</v>
  </rv>
  <rv s="12">
    <fb>125.13</fb>
    <v>33</v>
  </rv>
  <rv s="12">
    <fb>174.8</fb>
    <v>32</v>
  </rv>
  <rv s="12">
    <fb>424.5</fb>
    <v>32</v>
  </rv>
  <rv s="12">
    <fb>421.82</fb>
    <v>32</v>
  </rv>
  <rv s="12">
    <fb>141.79</fb>
    <v>32</v>
  </rv>
  <rv s="12">
    <fb>115.06</fb>
    <v>34</v>
  </rv>
  <rv s="12">
    <fb>1061.1976</fb>
    <v>33</v>
  </rv>
  <rv s="12">
    <fb>118.5</fb>
    <v>32</v>
  </rv>
  <rv s="12">
    <fb>136.04</fb>
    <v>32</v>
  </rv>
  <rv s="12">
    <fb>432.5</fb>
    <v>35</v>
  </rv>
  <rv s="12">
    <fb>11.582000000000001</fb>
    <v>32</v>
  </rv>
  <rv s="12">
    <fb>114.035</fb>
    <v>32</v>
  </rv>
  <rv s="12">
    <fb>182.0378</fb>
    <v>33</v>
  </rv>
  <rv s="12">
    <fb>640.75139999999999</fb>
    <v>33</v>
  </rv>
  <rv s="12">
    <fb>22.85</fb>
    <v>32</v>
  </rv>
  <rv s="12">
    <fb>273.53289999999998</fb>
    <v>33</v>
  </rv>
  <rv s="12">
    <fb>687.04430000000002</fb>
    <v>33</v>
  </rv>
  <rv s="12">
    <fb>72.599999999999994</fb>
    <v>32</v>
  </rv>
  <rv s="12">
    <fb>121.88379999999999</fb>
    <v>33</v>
  </rv>
  <rv s="12">
    <fb>254.2208</fb>
    <v>33</v>
  </rv>
  <rv s="12">
    <fb>951.86</fb>
    <v>33</v>
  </rv>
  <rv s="12">
    <fb>58.16</fb>
    <v>32</v>
  </rv>
  <rv s="12">
    <fb>25.805</fb>
    <v>32</v>
  </rv>
  <rv s="12">
    <fb>170.33</fb>
    <v>33</v>
  </rv>
  <rv s="12">
    <fb>256.67689999999999</fb>
    <v>33</v>
  </rv>
  <rv s="12">
    <fb>2.8334000000000001</fb>
    <v>32</v>
  </rv>
  <rv s="12">
    <fb>4.7705000000000002</fb>
    <v>34</v>
  </rv>
  <rv s="12">
    <fb>90.27</fb>
    <v>34</v>
  </rv>
  <rv s="12">
    <fb>4.7188999999999997</fb>
    <v>32</v>
  </rv>
  <rv s="12">
    <fb>260.54000000000002</fb>
    <v>32</v>
  </rv>
  <rv s="12">
    <fb>271.57729999999998</fb>
    <v>33</v>
  </rv>
  <rv s="12">
    <fb>160.47999999999999</fb>
    <v>33</v>
  </rv>
  <rv s="12">
    <fb>300.51620000000003</fb>
    <v>33</v>
  </rv>
  <rv s="12">
    <fb>108.7938</fb>
    <v>33</v>
  </rv>
  <rv s="12">
    <fb>214.31200000000001</fb>
    <v>33</v>
  </rv>
  <rv s="12">
    <fb>13.814</fb>
    <v>32</v>
  </rv>
  <rv s="12">
    <fb>14.72</fb>
    <v>34</v>
  </rv>
  <rv s="12">
    <fb>24.76</fb>
    <v>34</v>
  </rv>
  <rv s="12">
    <fb>147.36000000000001</fb>
    <v>33</v>
  </rv>
  <rv s="12">
    <fb>125.03</fb>
    <v>33</v>
  </rv>
  <rv s="12">
    <fb>174.22</fb>
    <v>32</v>
  </rv>
  <rv s="12">
    <fb>422.82</fb>
    <v>32</v>
  </rv>
  <rv s="12">
    <fb>420.08</fb>
    <v>32</v>
  </rv>
  <rv s="12">
    <fb>141.30000000000001</fb>
    <v>32</v>
  </rv>
  <rv s="12">
    <fb>115.4</fb>
    <v>34</v>
  </rv>
  <rv s="12">
    <fb>1061.2393999999999</fb>
    <v>33</v>
  </rv>
  <rv s="12">
    <fb>135.84</fb>
    <v>32</v>
  </rv>
  <rv s="12">
    <fb>11.526</fb>
    <v>32</v>
  </rv>
  <rv s="12">
    <fb>113.535</fb>
    <v>32</v>
  </rv>
  <rv s="12">
    <fb>182.88579999999999</fb>
    <v>33</v>
  </rv>
  <rv s="12">
    <fb>644.27239999999995</fb>
    <v>33</v>
  </rv>
  <rv s="12">
    <fb>22.71</fb>
    <v>32</v>
  </rv>
  <rv s="12">
    <fb>273.85140000000001</fb>
    <v>33</v>
  </rv>
  <rv s="12">
    <fb>683.61379999999997</fb>
    <v>33</v>
  </rv>
  <rv s="12">
    <fb>123.0218</fb>
    <v>33</v>
  </rv>
  <rv s="12">
    <fb>256.0498</fb>
    <v>33</v>
  </rv>
  <rv s="12">
    <fb>959.72</fb>
    <v>33</v>
  </rv>
  <rv s="12">
    <fb>58.26</fb>
    <v>32</v>
  </rv>
  <rv s="12">
    <fb>25.62</fb>
    <v>32</v>
  </rv>
  <rv s="12">
    <fb>254.346</fb>
    <v>33</v>
  </rv>
  <rv s="12">
    <fb>2.8466</fb>
    <v>32</v>
  </rv>
  <rv s="12">
    <fb>4.8034999999999997</fb>
    <v>34</v>
  </rv>
  <rv s="12">
    <fb>90.82</fb>
    <v>34</v>
  </rv>
  <rv s="12">
    <fb>4.7461000000000002</fb>
    <v>32</v>
  </rv>
  <rv s="12">
    <fb>262.01</fb>
    <v>32</v>
  </rv>
  <rv s="12">
    <fb>272.6816</fb>
    <v>33</v>
  </rv>
  <rv s="12">
    <fb>160.69999999999999</fb>
    <v>33</v>
  </rv>
  <rv s="12">
    <fb>300.9932</fb>
    <v>33</v>
  </rv>
  <rv s="12">
    <fb>108.89149999999999</fb>
    <v>33</v>
  </rv>
  <rv s="12">
    <fb>213.99700000000001</fb>
    <v>33</v>
  </rv>
  <rv s="12">
    <fb>13.82</fb>
    <v>32</v>
  </rv>
  <rv s="12">
    <fb>14.92</fb>
    <v>34</v>
  </rv>
  <rv s="12">
    <fb>25.1</fb>
    <v>34</v>
  </rv>
  <rv s="12">
    <fb>147.62</fb>
    <v>33</v>
  </rv>
  <rv s="12">
    <fb>125.61</fb>
    <v>33</v>
  </rv>
  <rv s="12">
    <fb>175.35</fb>
    <v>32</v>
  </rv>
  <rv s="12">
    <fb>425.96</fb>
    <v>32</v>
  </rv>
  <rv s="12">
    <fb>423.22</fb>
    <v>32</v>
  </rv>
  <rv s="12">
    <fb>142.32</fb>
    <v>32</v>
  </rv>
  <rv s="12">
    <fb>115.62</fb>
    <v>34</v>
  </rv>
  <rv s="12">
    <fb>1065.8179</fb>
    <v>33</v>
  </rv>
  <rv s="12">
    <fb>178.1234</fb>
    <v>33</v>
  </rv>
  <rv s="12">
    <fb>117.66</fb>
    <v>32</v>
  </rv>
  <rv s="12">
    <fb>134.97999999999999</fb>
    <v>32</v>
  </rv>
  <rv s="12">
    <fb>433</fb>
    <v>35</v>
  </rv>
  <rv s="12">
    <fb>11.59</fb>
    <v>32</v>
  </rv>
  <rv s="12">
    <fb>113.955</fb>
    <v>32</v>
  </rv>
  <rv s="12">
    <fb>179.40389999999999</fb>
    <v>33</v>
  </rv>
  <rv s="12">
    <fb>631.89110000000005</fb>
    <v>33</v>
  </rv>
  <rv s="12">
    <fb>269.15910000000002</fb>
    <v>33</v>
  </rv>
  <rv s="12">
    <fb>670.06679999999994</fb>
    <v>33</v>
  </rv>
  <rv s="12">
    <fb>120.6932</fb>
    <v>33</v>
  </rv>
  <rv s="12">
    <fb>249.7261</fb>
    <v>33</v>
  </rv>
  <rv s="12">
    <fb>935.8</fb>
    <v>33</v>
  </rv>
  <rv s="12">
    <fb>57.77</fb>
    <v>32</v>
  </rv>
  <rv s="12">
    <fb>25.425000000000001</fb>
    <v>32</v>
  </rv>
  <rv s="12">
    <fb>170.51</fb>
    <v>33</v>
  </rv>
  <rv s="12">
    <fb>253.93979999999999</fb>
    <v>33</v>
  </rv>
  <rv s="12">
    <fb>4.7539999999999996</fb>
    <v>34</v>
  </rv>
  <rv s="12">
    <fb>89.61</fb>
    <v>34</v>
  </rv>
  <rv s="12">
    <fb>4.7085999999999997</fb>
    <v>32</v>
  </rv>
  <rv s="12">
    <fb>259.45</fb>
    <v>32</v>
  </rv>
  <rv s="12">
    <fb>271.04739999999998</fb>
    <v>33</v>
  </rv>
  <rv s="12">
    <fb>298.86700000000002</fb>
    <v>33</v>
  </rv>
  <rv s="12">
    <fb>108.5271</fb>
    <v>33</v>
  </rv>
  <rv s="12">
    <fb>213.608</fb>
    <v>33</v>
  </rv>
  <rv s="12">
    <fb>14.27</fb>
    <v>32</v>
  </rv>
  <rv s="12">
    <fb>15.36</fb>
    <v>34</v>
  </rv>
  <rv s="12">
    <fb>25.81</fb>
    <v>34</v>
  </rv>
  <rv s="12">
    <fb>147.51</fb>
    <v>33</v>
  </rv>
  <rv s="12">
    <fb>125.85</fb>
    <v>33</v>
  </rv>
  <rv s="12">
    <fb>179.39</fb>
    <v>32</v>
  </rv>
  <rv s="12">
    <fb>435.64</fb>
    <v>32</v>
  </rv>
  <rv s="12">
    <fb>432.78</fb>
    <v>32</v>
  </rv>
  <rv s="12">
    <fb>145.49</fb>
    <v>32</v>
  </rv>
  <rv s="12">
    <fb>116.27</fb>
    <v>34</v>
  </rv>
  <rv s="12">
    <fb>1050.8258000000001</fb>
    <v>33</v>
  </rv>
  <rv s="12">
    <fb>112.78</fb>
    <v>32</v>
  </rv>
  <rv s="12">
    <fb>132.9</fb>
    <v>32</v>
  </rv>
  <rv s="12">
    <fb>112.61499999999999</fb>
    <v>32</v>
  </rv>
  <rv s="12">
    <fb>174.61259999999999</fb>
    <v>33</v>
  </rv>
  <rv s="12">
    <fb>613.95209999999997</fb>
    <v>33</v>
  </rv>
  <rv s="12">
    <fb>22.515000000000001</fb>
    <v>32</v>
  </rv>
  <rv s="12">
    <fb>262.42529999999999</fb>
    <v>33</v>
  </rv>
  <rv s="12">
    <fb>650.55219999999997</fb>
    <v>33</v>
  </rv>
  <rv s="12">
    <fb>70.17</fb>
    <v>32</v>
  </rv>
  <rv s="12">
    <fb>118.0941</fb>
    <v>33</v>
  </rv>
  <rv s="12">
    <fb>242.78540000000001</fb>
    <v>33</v>
  </rv>
  <rv s="12">
    <fb>913.32</fb>
    <v>33</v>
  </rv>
  <rv s="12">
    <fb>56.29</fb>
    <v>32</v>
  </rv>
  <rv s="12">
    <fb>24.18</fb>
    <v>32</v>
  </rv>
  <rv s="12">
    <fb>247.57810000000001</fb>
    <v>33</v>
  </rv>
  <rv s="12">
    <fb>2.8689</fb>
    <v>32</v>
  </rv>
  <rv s="12">
    <fb>4.7460000000000004</fb>
    <v>34</v>
  </rv>
  <rv s="12">
    <fb>89.43</fb>
    <v>34</v>
  </rv>
  <rv s="12">
    <fb>4.6699000000000002</fb>
    <v>32</v>
  </rv>
  <rv s="12">
    <fb>256.41000000000003</fb>
    <v>32</v>
  </rv>
  <rv s="12">
    <fb>268.05399999999997</fb>
    <v>33</v>
  </rv>
  <rv s="12">
    <fb>159.57</fb>
    <v>33</v>
  </rv>
  <rv s="12">
    <fb>295.27499999999998</fb>
    <v>33</v>
  </rv>
  <rv s="12">
    <fb>108.3201</fb>
    <v>33</v>
  </rv>
  <rv s="12">
    <fb>213.10300000000001</fb>
    <v>33</v>
  </rv>
  <rv s="12">
    <fb>14.558</fb>
    <v>32</v>
  </rv>
  <rv s="12">
    <fb>15.42</fb>
    <v>34</v>
  </rv>
  <rv s="12">
    <fb>25.91</fb>
    <v>34</v>
  </rv>
  <rv s="12">
    <fb>125.1</fb>
    <v>33</v>
  </rv>
  <rv s="12">
    <fb>175.08</fb>
    <v>32</v>
  </rv>
  <rv s="12">
    <fb>424.82</fb>
    <v>32</v>
  </rv>
  <rv s="12">
    <fb>422.04</fb>
    <v>32</v>
  </rv>
  <rv s="12">
    <fb>141.86000000000001</fb>
    <v>32</v>
  </rv>
  <rv s="12">
    <fb>117.38</fb>
    <v>34</v>
  </rv>
  <rv s="12">
    <fb>1049.9508000000001</fb>
    <v>33</v>
  </rv>
  <rv s="12">
    <fb>105.18</fb>
    <v>32</v>
  </rv>
  <rv s="12">
    <fb>129.76</fb>
    <v>32</v>
  </rv>
  <rv s="12">
    <fb>435</fb>
    <v>35</v>
  </rv>
  <rv s="12">
    <fb>11.484</fb>
    <v>32</v>
  </rv>
  <rv s="12">
    <fb>113.85</fb>
    <v>32</v>
  </rv>
  <rv s="12">
    <fb>176.90170000000001</fb>
    <v>33</v>
  </rv>
  <rv s="12">
    <fb>621.48239999999998</fb>
    <v>33</v>
  </rv>
  <rv s="12">
    <fb>22.72</fb>
    <v>32</v>
  </rv>
  <rv s="12">
    <fb>265.99020000000002</fb>
    <v>33</v>
  </rv>
  <rv s="12">
    <fb>662.48860000000002</fb>
    <v>33</v>
  </rv>
  <rv s="12">
    <fb>120.46810000000001</fb>
    <v>33</v>
  </rv>
  <rv s="12">
    <fb>245.6842</fb>
    <v>33</v>
  </rv>
  <rv s="12">
    <fb>925.61</fb>
    <v>33</v>
  </rv>
  <rv s="12">
    <fb>57.23</fb>
    <v>32</v>
  </rv>
  <rv s="12">
    <fb>24.63</fb>
    <v>32</v>
  </rv>
  <rv s="12">
    <fb>235.5505</fb>
    <v>33</v>
  </rv>
  <rv s="12">
    <fb>2.8542000000000001</fb>
    <v>32</v>
  </rv>
  <rv s="12">
    <fb>4.7450000000000001</fb>
    <v>34</v>
  </rv>
  <rv s="12">
    <fb>89.15</fb>
    <v>34</v>
  </rv>
  <rv s="12">
    <fb>4.6687000000000003</fb>
    <v>32</v>
  </rv>
  <rv s="12">
    <fb>257.52999999999997</fb>
    <v>32</v>
  </rv>
  <rv s="12">
    <fb>268.83</fb>
    <v>33</v>
  </rv>
  <rv s="12">
    <fb>159.84</fb>
    <v>33</v>
  </rv>
  <rv s="12">
    <fb>296.94929999999999</fb>
    <v>33</v>
  </rv>
  <rv s="12">
    <fb>108.51139999999999</fb>
    <v>33</v>
  </rv>
  <rv s="12">
    <fb>14.41</fb>
    <v>32</v>
  </rv>
  <rv s="12">
    <fb>15.56</fb>
    <v>34</v>
  </rv>
  <rv s="12">
    <fb>26.14</fb>
    <v>34</v>
  </rv>
  <rv s="12">
    <fb>147.31</fb>
    <v>33</v>
  </rv>
  <rv s="12">
    <fb>125.18</fb>
    <v>33</v>
  </rv>
  <rv s="12">
    <fb>175.51</fb>
    <v>32</v>
  </rv>
  <rv s="12">
    <fb>426.3</fb>
    <v>32</v>
  </rv>
  <rv s="12">
    <fb>423.32</fb>
    <v>32</v>
  </rv>
  <rv s="12">
    <fb>142.34</fb>
    <v>32</v>
  </rv>
  <rv s="12">
    <fb>116.91</fb>
    <v>34</v>
  </rv>
  <rv s="12">
    <fb>1045.3985</fb>
    <v>33</v>
  </rv>
  <rv s="12">
    <fb>107.22</fb>
    <v>32</v>
  </rv>
  <rv s="12">
    <fb>130.97999999999999</fb>
    <v>32</v>
  </rv>
  <rv s="12">
    <fb>11.416</fb>
    <v>32</v>
  </rv>
  <rv s="12">
    <fb>113.30500000000001</fb>
    <v>32</v>
  </rv>
  <rv s="12">
    <fb>175.06379999999999</fb>
    <v>33</v>
  </rv>
  <rv s="12">
    <fb>614.84299999999996</fb>
    <v>33</v>
  </rv>
  <rv s="12">
    <fb>22.49</fb>
    <v>32</v>
  </rv>
  <rv s="12">
    <fb>264.25209999999998</fb>
    <v>33</v>
  </rv>
  <rv s="12">
    <fb>658.28229999999996</fb>
    <v>33</v>
  </rv>
  <rv s="12">
    <fb>70.180000000000007</fb>
    <v>32</v>
  </rv>
  <rv s="12">
    <fb>121.0309</fb>
    <v>33</v>
  </rv>
  <rv s="12">
    <fb>242.60400000000001</fb>
    <v>33</v>
  </rv>
  <rv s="12">
    <fb>916.03</fb>
    <v>33</v>
  </rv>
  <rv s="12">
    <fb>56.67</fb>
    <v>32</v>
  </rv>
  <rv s="12">
    <fb>24.265000000000001</fb>
    <v>32</v>
  </rv>
  <rv s="12">
    <fb>161.47999999999999</fb>
    <v>33</v>
  </rv>
  <rv s="12">
    <fb>242.14070000000001</fb>
    <v>33</v>
  </rv>
  <rv s="12">
    <fb>2.8489</fb>
    <v>32</v>
  </rv>
  <rv s="12">
    <fb>4.7035</fb>
    <v>34</v>
  </rv>
  <rv s="12">
    <fb>88.79</fb>
    <v>34</v>
  </rv>
  <rv s="12">
    <fb>4.6273</fb>
    <v>32</v>
  </rv>
  <rv s="12">
    <fb>254.77</fb>
    <v>32</v>
  </rv>
  <rv s="12">
    <fb>267.58859999999999</fb>
    <v>33</v>
  </rv>
  <rv s="12">
    <fb>295.49829999999997</fb>
    <v>33</v>
  </rv>
  <rv s="12">
    <fb>108.089</fb>
    <v>33</v>
  </rv>
  <rv s="12">
    <fb>213.333</fb>
    <v>33</v>
  </rv>
  <rv s="12">
    <fb>14.667999999999999</fb>
    <v>32</v>
  </rv>
  <rv s="12">
    <fb>15.8</fb>
    <v>34</v>
  </rv>
  <rv s="12">
    <fb>26.52</fb>
    <v>34</v>
  </rv>
  <rv s="12">
    <fb>147.08000000000001</fb>
    <v>33</v>
  </rv>
  <rv s="12">
    <fb>124.7</fb>
    <v>33</v>
  </rv>
  <rv s="12">
    <fb>173.34</fb>
    <v>32</v>
  </rv>
  <rv s="12">
    <fb>421</fb>
    <v>32</v>
  </rv>
  <rv s="12">
    <fb>418.24</fb>
    <v>32</v>
  </rv>
  <rv s="12">
    <fb>140.59</fb>
    <v>32</v>
  </rv>
  <rv s="12">
    <fb>117.34</fb>
    <v>34</v>
  </rv>
  <rv s="12">
    <fb>1048.5273</fb>
    <v>33</v>
  </rv>
  <rv s="12">
    <fb>103.98</fb>
    <v>32</v>
  </rv>
  <rv s="12">
    <fb>128.19999999999999</fb>
    <v>32</v>
  </rv>
  <rv s="12">
    <fb>438.5</fb>
    <v>35</v>
  </rv>
  <rv s="12">
    <fb>112.015</fb>
    <v>32</v>
  </rv>
  <rv s="12">
    <fb>173.26769999999999</fb>
    <v>33</v>
  </rv>
  <rv s="12">
    <fb>607.00670000000002</fb>
    <v>33</v>
  </rv>
  <rv s="12">
    <fb>22.004999999999999</fb>
    <v>32</v>
  </rv>
  <rv s="12">
    <fb>263.74380000000002</fb>
    <v>33</v>
  </rv>
  <rv s="12">
    <fb>641.84190000000001</fb>
    <v>33</v>
  </rv>
  <rv s="12">
    <fb>69.290000000000006</fb>
    <v>32</v>
  </rv>
  <rv s="12">
    <fb>121.2783</fb>
    <v>33</v>
  </rv>
  <rv s="12">
    <fb>240.39500000000001</fb>
    <v>33</v>
  </rv>
  <rv s="12">
    <fb>904.16</fb>
    <v>33</v>
  </rv>
  <rv s="12">
    <fb>55.73</fb>
    <v>32</v>
  </rv>
  <rv s="12">
    <fb>24.1</fb>
    <v>32</v>
  </rv>
  <rv s="12">
    <fb>162.16999999999999</fb>
    <v>33</v>
  </rv>
  <rv s="12">
    <fb>240.7792</fb>
    <v>33</v>
  </rv>
  <rv s="12">
    <fb>2.8340000000000001</fb>
    <v>32</v>
  </rv>
  <rv s="12">
    <fb>4.6974999999999998</fb>
    <v>34</v>
  </rv>
  <rv s="12">
    <fb>88.46</fb>
    <v>34</v>
  </rv>
  <rv s="12">
    <fb>4.6298000000000004</fb>
    <v>32</v>
  </rv>
  <rv s="12">
    <fb>254.4</fb>
    <v>32</v>
  </rv>
  <rv s="12">
    <fb>265.81110000000001</fb>
    <v>33</v>
  </rv>
  <rv s="12">
    <fb>159.16</fb>
    <v>33</v>
  </rv>
  <rv s="12">
    <fb>292.25369999999998</fb>
    <v>33</v>
  </rv>
  <rv s="12">
    <fb>107.9508</fb>
    <v>33</v>
  </rv>
  <rv s="12">
    <fb>212.65700000000001</fb>
    <v>33</v>
  </rv>
  <rv s="12">
    <fb>15.026</fb>
    <v>32</v>
  </rv>
  <rv s="12">
    <fb>16.38</fb>
    <v>34</v>
  </rv>
  <rv s="12">
    <fb>27.51</fb>
    <v>34</v>
  </rv>
  <rv s="12">
    <fb>146.9</fb>
    <v>33</v>
  </rv>
  <rv s="12">
    <fb>124.6</fb>
    <v>33</v>
  </rv>
  <rv s="12">
    <fb>175.52</fb>
    <v>32</v>
  </rv>
  <rv s="12">
    <fb>426.22</fb>
    <v>32</v>
  </rv>
  <rv s="12">
    <fb>118.38</fb>
    <v>34</v>
  </rv>
  <rv s="12">
    <fb>1049.5797</fb>
    <v>33</v>
  </rv>
  <rv s="12">
    <fb>95.87</fb>
    <v>32</v>
  </rv>
  <rv s="12">
    <fb>122.62</fb>
    <v>32</v>
  </rv>
  <rv s="12">
    <fb>439</fb>
    <v>35</v>
  </rv>
  <rv s="12">
    <fb>111.515</fb>
    <v>32</v>
  </rv>
  <rv s="12">
    <fb>170.37289999999999</fb>
    <v>33</v>
  </rv>
  <rv s="12">
    <fb>595.84659999999997</fb>
    <v>33</v>
  </rv>
  <rv s="12">
    <fb>21.655000000000001</fb>
    <v>32</v>
  </rv>
  <rv s="12">
    <fb>259.67099999999999</fb>
    <v>33</v>
  </rv>
  <rv s="12">
    <fb>637.24680000000001</fb>
    <v>33</v>
  </rv>
  <rv s="12">
    <fb>68.97</fb>
    <v>32</v>
  </rv>
  <rv s="12">
    <fb>118.95659999999999</fb>
    <v>33</v>
  </rv>
  <rv s="12">
    <fb>234.66290000000001</fb>
    <v>33</v>
  </rv>
  <rv s="12">
    <fb>885.36</fb>
    <v>33</v>
  </rv>
  <rv s="12">
    <fb>55.35</fb>
    <v>32</v>
  </rv>
  <rv s="12">
    <fb>24.01</fb>
    <v>32</v>
  </rv>
  <rv s="12">
    <fb>155.68</fb>
    <v>33</v>
  </rv>
  <rv s="12">
    <fb>232.9718</fb>
    <v>33</v>
  </rv>
  <rv s="12">
    <fb>2.8508</fb>
    <v>32</v>
  </rv>
  <rv s="12">
    <fb>4.7190000000000003</fb>
    <v>34</v>
  </rv>
  <rv s="12">
    <fb>4.6299000000000001</fb>
    <v>32</v>
  </rv>
  <rv s="12">
    <fb>254.39</fb>
    <v>32</v>
  </rv>
  <rv s="12">
    <fb>263.73419999999999</fb>
    <v>33</v>
  </rv>
  <rv s="12">
    <fb>289.6961</fb>
    <v>33</v>
  </rv>
  <rv s="12">
    <fb>107.93129999999999</fb>
    <v>33</v>
  </rv>
  <rv s="12">
    <fb>212.32300000000001</fb>
    <v>33</v>
  </rv>
  <rv s="12">
    <fb>15.314</fb>
    <v>32</v>
  </rv>
  <rv s="12">
    <fb>16.190000000000001</fb>
    <v>34</v>
  </rv>
  <rv s="12">
    <fb>27.14</fb>
    <v>34</v>
  </rv>
  <rv s="12">
    <fb>125.17</fb>
    <v>33</v>
  </rv>
  <rv s="12">
    <fb>174.41</fb>
    <v>32</v>
  </rv>
  <rv s="12">
    <fb>423.6</fb>
    <v>32</v>
  </rv>
  <rv s="12">
    <fb>420.84</fb>
    <v>32</v>
  </rv>
  <rv s="12">
    <fb>141.51</fb>
    <v>32</v>
  </rv>
  <rv s="12">
    <fb>118.59</fb>
    <v>34</v>
  </rv>
  <rv s="12">
    <fb>1045.1559999999999</fb>
    <v>33</v>
  </rv>
  <rv s="12">
    <fb>87.95</fb>
    <v>32</v>
  </rv>
  <rv s="12">
    <fb>117</fb>
    <v>32</v>
  </rv>
  <rv s="12">
    <fb>440.5</fb>
    <v>35</v>
  </rv>
  <rv s="12">
    <fb>11.426</fb>
    <v>32</v>
  </rv>
  <rv s="12">
    <fb>113.035</fb>
    <v>32</v>
  </rv>
  <rv s="12">
    <fb>175.11170000000001</fb>
    <v>33</v>
  </rv>
  <rv s="12">
    <fb>613.30250000000001</fb>
    <v>33</v>
  </rv>
  <rv s="12">
    <fb>22.18</fb>
    <v>32</v>
  </rv>
  <rv s="12">
    <fb>265.38600000000002</fb>
    <v>33</v>
  </rv>
  <rv s="12">
    <fb>655.90070000000003</fb>
    <v>33</v>
  </rv>
  <rv s="12">
    <fb>71.069999999999993</fb>
    <v>32</v>
  </rv>
  <rv s="12">
    <fb>121.00579999999999</fb>
    <v>33</v>
  </rv>
  <rv s="12">
    <fb>241.58959999999999</fb>
    <v>33</v>
  </rv>
  <rv s="12">
    <fb>910.14</fb>
    <v>33</v>
  </rv>
  <rv s="12">
    <fb>56.75</fb>
    <v>32</v>
  </rv>
  <rv s="12">
    <fb>24.68</fb>
    <v>32</v>
  </rv>
  <rv s="12">
    <fb>239.4255</fb>
    <v>33</v>
  </rv>
  <rv s="12">
    <fb>2.8376000000000001</fb>
    <v>32</v>
  </rv>
  <rv s="12">
    <fb>4.7210000000000001</fb>
    <v>34</v>
  </rv>
  <rv s="12">
    <fb>88.28</fb>
    <v>34</v>
  </rv>
  <rv s="12">
    <fb>4.6359000000000004</fb>
    <v>32</v>
  </rv>
  <rv s="12">
    <fb>255.47</fb>
    <v>32</v>
  </rv>
  <rv s="12">
    <fb>266.09840000000003</fb>
    <v>33</v>
  </rv>
  <rv s="12">
    <fb>159.19</fb>
    <v>33</v>
  </rv>
  <rv s="12">
    <fb>293.78870000000001</fb>
    <v>33</v>
  </rv>
  <rv s="12">
    <fb>108.0673</fb>
    <v>33</v>
  </rv>
  <rv s="12">
    <fb>212.87</fb>
    <v>33</v>
  </rv>
  <rv s="12">
    <fb>14.974</fb>
    <v>32</v>
  </rv>
  <rv s="12">
    <fb>16.440000000000001</fb>
    <v>34</v>
  </rv>
  <rv s="12">
    <fb>27.6</fb>
    <v>34</v>
  </rv>
  <rv s="12">
    <fb>147.44</fb>
    <v>33</v>
  </rv>
  <rv s="12">
    <fb>124.89</fb>
    <v>33</v>
  </rv>
  <rv s="12">
    <fb>177.99</fb>
    <v>32</v>
  </rv>
  <rv s="12">
    <fb>432.36</fb>
    <v>32</v>
  </rv>
  <rv s="12">
    <fb>429.52</fb>
    <v>32</v>
  </rv>
  <rv s="12">
    <fb>144.38</fb>
    <v>32</v>
  </rv>
  <rv s="12">
    <fb>118.34</fb>
    <v>34</v>
  </rv>
  <rv s="12">
    <fb>1041.0726999999999</fb>
    <v>33</v>
  </rv>
  <rv s="12">
    <fb>99.93</fb>
    <v>32</v>
  </rv>
  <rv s="12">
    <fb>444</fb>
    <v>35</v>
  </rv>
  <rv s="12">
    <fb>11.398</fb>
    <v>32</v>
  </rv>
  <rv s="12">
    <fb>112.63500000000001</fb>
    <v>32</v>
  </rv>
  <rv s="12">
    <fb>173.6825</fb>
    <v>33</v>
  </rv>
  <rv s="12">
    <fb>608.91890000000001</fb>
    <v>33</v>
  </rv>
  <rv s="12">
    <fb>21.965</fb>
    <v>32</v>
  </rv>
  <rv s="12">
    <fb>263.26459999999997</fb>
    <v>33</v>
  </rv>
  <rv s="12">
    <fb>652.83510000000001</fb>
    <v>33</v>
  </rv>
  <rv s="12">
    <fb>70.790000000000006</fb>
    <v>32</v>
  </rv>
  <rv s="12">
    <fb>120.54940000000001</fb>
    <v>33</v>
  </rv>
  <rv s="12">
    <fb>238.678</fb>
    <v>33</v>
  </rv>
  <rv s="12">
    <fb>899.19</fb>
    <v>33</v>
  </rv>
  <rv s="12">
    <fb>56.57</fb>
    <v>32</v>
  </rv>
  <rv s="12">
    <fb>24.53</fb>
    <v>32</v>
  </rv>
  <rv s="12">
    <fb>164.24</fb>
    <v>33</v>
  </rv>
  <rv s="12">
    <fb>243.73089999999999</fb>
    <v>33</v>
  </rv>
  <rv s="12">
    <fb>2.8071000000000002</fb>
    <v>32</v>
  </rv>
  <rv s="12">
    <fb>4.6405000000000003</fb>
    <v>34</v>
  </rv>
  <rv s="12">
    <fb>87.14</fb>
    <v>34</v>
  </rv>
  <rv s="12">
    <fb>4.5953999999999997</fb>
    <v>32</v>
  </rv>
  <rv s="12">
    <fb>252.65</fb>
    <v>32</v>
  </rv>
  <rv s="12">
    <fb>263.88249999999999</fb>
    <v>33</v>
  </rv>
  <rv s="12">
    <fb>158.72999999999999</fb>
    <v>33</v>
  </rv>
  <rv s="12">
    <fb>290.9366</fb>
    <v>33</v>
  </rv>
  <rv s="12">
    <fb>107.5812</fb>
    <v>33</v>
  </rv>
  <rv s="12">
    <fb>212.38399999999999</fb>
    <v>33</v>
  </rv>
  <rv s="12">
    <fb>15.29</fb>
    <v>32</v>
  </rv>
  <rv s="12">
    <fb>16.760000000000002</fb>
    <v>34</v>
  </rv>
  <rv s="12">
    <fb>28.13</fb>
    <v>34</v>
  </rv>
  <rv s="12">
    <fb>124.35</fb>
    <v>33</v>
  </rv>
  <rv s="12">
    <fb>177.09</fb>
    <v>32</v>
  </rv>
  <rv s="12">
    <fb>430.04</fb>
    <v>32</v>
  </rv>
  <rv s="12">
    <fb>427.18</fb>
    <v>32</v>
  </rv>
  <rv s="12">
    <fb>143.61000000000001</fb>
    <v>32</v>
  </rv>
  <rv s="12">
    <fb>118.63</fb>
    <v>34</v>
  </rv>
  <rv s="12">
    <fb>1033.72</fb>
    <v>33</v>
  </rv>
  <rv s="12">
    <fb>96.43</fb>
    <v>32</v>
  </rv>
  <rv s="12">
    <fb>123.24</fb>
    <v>32</v>
  </rv>
  <rv s="12">
    <fb>11.314</fb>
    <v>32</v>
  </rv>
  <rv s="12">
    <fb>112.03</fb>
    <v>32</v>
  </rv>
  <rv s="12">
    <fb>173.79750000000001</fb>
    <v>33</v>
  </rv>
  <rv s="12">
    <fb>608.63649999999996</fb>
    <v>33</v>
  </rv>
  <rv s="12">
    <fb>21.844999999999999</fb>
    <v>32</v>
  </rv>
  <rv s="12">
    <fb>262.12329999999997</fb>
    <v>33</v>
  </rv>
  <rv s="12">
    <fb>645.08929999999998</fb>
    <v>33</v>
  </rv>
  <rv s="12">
    <fb>69.95</fb>
    <v>32</v>
  </rv>
  <rv s="12">
    <fb>120.54259999999999</fb>
    <v>33</v>
  </rv>
  <rv s="12">
    <fb>239.10319999999999</fb>
    <v>33</v>
  </rv>
  <rv s="12">
    <fb>901.47</fb>
    <v>33</v>
  </rv>
  <rv s="12">
    <fb>56.1</fb>
    <v>32</v>
  </rv>
  <rv s="12">
    <fb>24.23</fb>
    <v>32</v>
  </rv>
  <rv s="12">
    <fb>161.94999999999999</fb>
    <v>33</v>
  </rv>
  <rv s="12">
    <fb>242.4066</fb>
    <v>33</v>
  </rv>
  <rv s="12">
    <fb>2.8081999999999998</fb>
    <v>32</v>
  </rv>
  <rv s="12">
    <fb>4.6230000000000002</fb>
    <v>34</v>
  </rv>
  <rv s="12">
    <fb>86.97</fb>
    <v>34</v>
  </rv>
  <rv s="12">
    <fb>4.5660999999999996</fb>
    <v>32</v>
  </rv>
  <rv s="12">
    <fb>250.55</fb>
    <v>32</v>
  </rv>
  <rv s="12">
    <fb>263.44659999999999</fb>
    <v>33</v>
  </rv>
  <rv s="12">
    <fb>158.66</fb>
    <v>33</v>
  </rv>
  <rv s="12">
    <fb>289.5351</fb>
    <v>33</v>
  </rv>
  <rv s="12">
    <fb>107.2295</fb>
    <v>33</v>
  </rv>
  <rv s="12">
    <fb>211.47399999999999</fb>
    <v>33</v>
  </rv>
  <rv s="12">
    <fb>15.673999999999999</fb>
    <v>32</v>
  </rv>
  <rv s="12">
    <fb>17.21</fb>
    <v>34</v>
  </rv>
  <rv s="12">
    <fb>28.86</fb>
    <v>34</v>
  </rv>
  <rv s="12">
    <fb>147.1</fb>
    <v>33</v>
  </rv>
  <rv s="12">
    <fb>124.55</fb>
    <v>33</v>
  </rv>
  <rv s="12">
    <fb>176.41</fb>
    <v>32</v>
  </rv>
  <rv s="12">
    <fb>428.44</fb>
    <v>32</v>
  </rv>
  <rv s="12">
    <fb>425.62</fb>
    <v>32</v>
  </rv>
  <rv s="12">
    <fb>143.06</fb>
    <v>32</v>
  </rv>
  <rv s="12">
    <fb>119.21</fb>
    <v>34</v>
  </rv>
  <rv s="12">
    <fb>1032.9262000000001</fb>
    <v>33</v>
  </rv>
  <rv s="12">
    <fb>91.35</fb>
    <v>32</v>
  </rv>
  <rv s="12">
    <fb>121</fb>
    <v>32</v>
  </rv>
  <rv s="12">
    <fb>11.4</fb>
    <v>32</v>
  </rv>
  <rv s="12">
    <fb>111.87</fb>
    <v>32</v>
  </rv>
  <rv s="12">
    <fb>171.52459999999999</fb>
    <v>33</v>
  </rv>
  <rv s="12">
    <fb>599.68740000000003</fb>
    <v>33</v>
  </rv>
  <rv s="12">
    <fb>21.774999999999999</fb>
    <v>32</v>
  </rv>
  <rv s="12">
    <fb>260.44150000000002</fb>
    <v>33</v>
  </rv>
  <rv s="12">
    <fb>643.46190000000001</fb>
    <v>33</v>
  </rv>
  <rv s="12">
    <fb>69.739999999999995</fb>
    <v>32</v>
  </rv>
  <rv s="12">
    <fb>120.0466</fb>
    <v>33</v>
  </rv>
  <rv s="12">
    <fb>235.03559999999999</fb>
    <v>33</v>
  </rv>
  <rv s="12">
    <fb>889.22</fb>
    <v>33</v>
  </rv>
  <rv s="12">
    <fb>56.26</fb>
    <v>32</v>
  </rv>
  <rv s="12">
    <fb>24.065000000000001</fb>
    <v>32</v>
  </rv>
  <rv s="12">
    <fb>162.55000000000001</fb>
    <v>33</v>
  </rv>
  <rv s="12">
    <fb>241.2004</fb>
    <v>33</v>
  </rv>
  <rv s="12">
    <fb>2.8130000000000002</fb>
    <v>32</v>
  </rv>
  <rv s="12">
    <fb>4.5960000000000001</fb>
    <v>34</v>
  </rv>
  <rv s="12">
    <fb>248.9</fb>
    <v>32</v>
  </rv>
  <rv s="12">
    <fb>262.92079999999999</fb>
    <v>33</v>
  </rv>
  <rv s="12">
    <fb>288.95330000000001</fb>
    <v>33</v>
  </rv>
  <rv s="12">
    <fb>107.0963</fb>
    <v>33</v>
  </rv>
  <rv s="12">
    <fb>210.87200000000001</fb>
    <v>33</v>
  </rv>
  <rv s="12">
    <fb>15.824</fb>
    <v>32</v>
  </rv>
  <rv s="12">
    <fb>17.13</fb>
    <v>34</v>
  </rv>
  <rv s="12">
    <fb>28.71</fb>
    <v>34</v>
  </rv>
  <rv s="12">
    <fb>124.34</fb>
    <v>33</v>
  </rv>
  <rv s="12">
    <fb>174.93</fb>
    <v>32</v>
  </rv>
  <rv s="12">
    <fb>424.72</fb>
    <v>32</v>
  </rv>
  <rv s="12">
    <fb>421.88</fb>
    <v>32</v>
  </rv>
  <rv s="12">
    <fb>141.83000000000001</fb>
    <v>32</v>
  </rv>
  <rv s="12">
    <fb>119.57</fb>
    <v>34</v>
  </rv>
  <rv s="12">
    <fb>1035.6197999999999</fb>
    <v>33</v>
  </rv>
  <rv s="12">
    <fb>94</fb>
    <v>32</v>
  </rv>
  <rv s="12">
    <fb>121.44</fb>
    <v>32</v>
  </rv>
  <rv s="12">
    <fb>436</fb>
    <v>35</v>
  </rv>
  <rv s="12">
    <fb>172.0438</fb>
    <v>33</v>
  </rv>
  <rv s="12">
    <fb>601.49590000000001</fb>
    <v>33</v>
  </rv>
  <rv s="12">
    <fb>21.864999999999998</fb>
    <v>32</v>
  </rv>
  <rv s="12">
    <fb>261.82909999999998</fb>
    <v>33</v>
  </rv>
  <rv s="12">
    <fb>644.88879999999995</fb>
    <v>33</v>
  </rv>
  <rv s="12">
    <fb>70.28</fb>
    <v>32</v>
  </rv>
  <rv s="12">
    <fb>123.5783</fb>
    <v>33</v>
  </rv>
  <rv s="12">
    <fb>235.06950000000001</fb>
    <v>33</v>
  </rv>
  <rv s="12">
    <fb>890.48</fb>
    <v>33</v>
  </rv>
  <rv s="12">
    <fb>56.8</fb>
    <v>32</v>
  </rv>
  <rv s="12">
    <fb>241.37289999999999</fb>
    <v>33</v>
  </rv>
  <rv s="12">
    <fb>2.8203</fb>
    <v>32</v>
  </rv>
  <rv s="12">
    <fb>87.21</fb>
    <v>34</v>
  </rv>
  <rv s="12">
    <fb>4.5648999999999997</fb>
    <v>32</v>
  </rv>
  <rv s="12">
    <fb>250.42</fb>
    <v>32</v>
  </rv>
  <rv s="12">
    <fb>263.68860000000001</fb>
    <v>33</v>
  </rv>
  <rv s="12">
    <fb>158.72</fb>
    <v>33</v>
  </rv>
  <rv s="12">
    <fb>289.81139999999999</fb>
    <v>33</v>
  </rv>
  <rv s="12">
    <fb>107.3284</fb>
    <v>33</v>
  </rv>
  <rv s="12">
    <fb>211.178</fb>
    <v>33</v>
  </rv>
  <rv s="12">
    <fb>15.506</fb>
    <v>32</v>
  </rv>
  <rv s="12">
    <fb>16.899999999999999</fb>
    <v>34</v>
  </rv>
  <rv s="12">
    <fb>28.31</fb>
    <v>34</v>
  </rv>
  <rv s="12">
    <fb>147.55000000000001</fb>
    <v>33</v>
  </rv>
  <rv s="12">
    <fb>171.91</fb>
    <v>32</v>
  </rv>
  <rv s="12">
    <fb>417.24</fb>
    <v>32</v>
  </rv>
  <rv s="12">
    <fb>414.48</fb>
    <v>32</v>
  </rv>
  <rv s="12">
    <fb>139.35</fb>
    <v>32</v>
  </rv>
  <rv s="12">
    <fb>118.99</fb>
    <v>34</v>
  </rv>
  <rv s="12">
    <fb>1033.6519000000001</fb>
    <v>33</v>
  </rv>
  <rv s="12">
    <fb>90.54</fb>
    <v>32</v>
  </rv>
  <rv s="12">
    <fb>120.92</fb>
    <v>32</v>
  </rv>
  <rv s="12">
    <fb>437.5</fb>
    <v>35</v>
  </rv>
  <rv s="12">
    <fb>11.388</fb>
    <v>32</v>
  </rv>
  <rv s="12">
    <fb>112.44</fb>
    <v>32</v>
  </rv>
  <rv s="12">
    <fb>171.88740000000001</fb>
    <v>33</v>
  </rv>
  <rv s="12">
    <fb>600.09249999999997</fb>
    <v>33</v>
  </rv>
  <rv s="12">
    <fb>21.91</fb>
    <v>32</v>
  </rv>
  <rv s="12">
    <fb>261.78399999999999</fb>
    <v>33</v>
  </rv>
  <rv s="12">
    <fb>647.62519999999995</fb>
    <v>33</v>
  </rv>
  <rv s="12">
    <fb>70.44</fb>
    <v>32</v>
  </rv>
  <rv s="12">
    <fb>123.37609999999999</fb>
    <v>33</v>
  </rv>
  <rv s="12">
    <fb>235.1772</fb>
    <v>33</v>
  </rv>
  <rv s="12">
    <fb>887.53</fb>
    <v>33</v>
  </rv>
  <rv s="12">
    <fb>57.04</fb>
    <v>32</v>
  </rv>
  <rv s="12">
    <fb>24.434999999999999</fb>
    <v>32</v>
  </rv>
  <rv s="12">
    <fb>161.66</fb>
    <v>33</v>
  </rv>
  <rv s="12">
    <fb>242.4769</fb>
    <v>33</v>
  </rv>
  <rv s="12">
    <fb>2.8231000000000002</fb>
    <v>32</v>
  </rv>
  <rv s="12">
    <fb>4.649</fb>
    <v>34</v>
  </rv>
  <rv s="12">
    <fb>87.45</fb>
    <v>34</v>
  </rv>
  <rv s="12">
    <fb>4.6017999999999999</fb>
    <v>32</v>
  </rv>
  <rv s="12">
    <fb>252.97</fb>
    <v>32</v>
  </rv>
  <rv s="12">
    <fb>264.8091</fb>
    <v>33</v>
  </rv>
  <rv s="12">
    <fb>158.88</fb>
    <v>33</v>
  </rv>
  <rv s="12">
    <fb>291.7201</fb>
    <v>33</v>
  </rv>
  <rv s="12">
    <fb>107.5257</fb>
    <v>33</v>
  </rv>
  <rv s="12">
    <fb>211.595</fb>
    <v>33</v>
  </rv>
  <rv s="12">
    <fb>15.624000000000001</fb>
    <v>32</v>
  </rv>
  <rv s="12">
    <fb>17.170000000000002</fb>
    <v>34</v>
  </rv>
  <rv s="12">
    <fb>28.76</fb>
    <v>34</v>
  </rv>
  <rv s="12">
    <fb>147.75</fb>
    <v>33</v>
  </rv>
  <rv s="12">
    <fb>171.99</fb>
    <v>32</v>
  </rv>
  <rv s="12">
    <fb>417.7</fb>
    <v>32</v>
  </rv>
  <rv s="12">
    <fb>414.94</fb>
    <v>32</v>
  </rv>
  <rv s="12">
    <fb>139.47999999999999</fb>
    <v>32</v>
  </rv>
  <rv s="12">
    <fb>118.69</fb>
    <v>34</v>
  </rv>
  <rv s="12">
    <fb>1034.0604000000001</fb>
    <v>33</v>
  </rv>
  <rv s="12">
    <fb>91.6</fb>
    <v>32</v>
  </rv>
  <rv s="12">
    <fb>121.26</fb>
    <v>32</v>
  </rv>
  <rv s="12">
    <fb>171.47829999999999</fb>
    <v>33</v>
  </rv>
  <rv s="12">
    <fb>598.3596</fb>
    <v>33</v>
  </rv>
  <rv s="12">
    <fb>21.89</fb>
    <v>32</v>
  </rv>
  <rv s="12">
    <fb>260.25299999999999</fb>
    <v>33</v>
  </rv>
  <rv s="12">
    <fb>637.16290000000004</fb>
    <v>33</v>
  </rv>
  <rv s="12">
    <fb>70.62</fb>
    <v>32</v>
  </rv>
  <rv s="12">
    <fb>124.6639</fb>
    <v>33</v>
  </rv>
  <rv s="12">
    <fb>234.5351</fb>
    <v>33</v>
  </rv>
  <rv s="12">
    <fb>883.2</fb>
    <v>33</v>
  </rv>
  <rv s="12">
    <fb>57</fb>
    <v>32</v>
  </rv>
  <rv s="12">
    <fb>24.39</fb>
    <v>32</v>
  </rv>
  <rv s="12">
    <fb>166.7</fb>
    <v>33</v>
  </rv>
  <rv s="12">
    <fb>247.91759999999999</fb>
    <v>33</v>
  </rv>
  <rv s="12">
    <fb>2.8209</fb>
    <v>32</v>
  </rv>
  <rv s="12">
    <fb>86.954999999999998</fb>
    <v>34</v>
  </rv>
  <rv s="12">
    <fb>4.6001000000000003</fb>
    <v>32</v>
  </rv>
  <rv s="12">
    <fb>252.34</fb>
    <v>32</v>
  </rv>
  <rv s="12">
    <fb>263.97829999999999</fb>
    <v>33</v>
  </rv>
  <rv s="12">
    <fb>290.28829999999999</fb>
    <v>33</v>
  </rv>
  <rv s="12">
    <fb>107.2795</fb>
    <v>33</v>
  </rv>
  <rv s="12">
    <fb>211.32</fb>
    <v>33</v>
  </rv>
  <rv s="12">
    <fb>15.878</fb>
    <v>32</v>
  </rv>
  <rv s="12">
    <fb>17.46</fb>
    <v>34</v>
  </rv>
  <rv s="12">
    <fb>29.27</fb>
    <v>34</v>
  </rv>
  <rv s="12">
    <fb>125.11</fb>
    <v>33</v>
  </rv>
  <rv s="12">
    <fb>167.86</fb>
    <v>32</v>
  </rv>
  <rv s="12">
    <fb>407.64</fb>
    <v>32</v>
  </rv>
  <rv s="12">
    <fb>404.96</fb>
    <v>32</v>
  </rv>
  <rv s="12">
    <fb>136.11000000000001</fb>
    <v>32</v>
  </rv>
  <rv s="12">
    <fb>119.45</fb>
    <v>34</v>
  </rv>
  <rv s="12">
    <fb>1032.5047</fb>
    <v>33</v>
  </rv>
  <rv s="12">
    <fb>87.8</fb>
    <v>32</v>
  </rv>
  <rv s="12">
    <fb>121.8</fb>
    <v>32</v>
  </rv>
  <rv s="12">
    <fb>425</fb>
    <v>35</v>
  </rv>
  <rv s="12">
    <fb>11.112</fb>
    <v>32</v>
  </rv>
  <rv s="12">
    <fb>109.855</fb>
    <v>32</v>
  </rv>
  <rv s="12">
    <fb>165.79589999999999</fb>
    <v>33</v>
  </rv>
  <rv s="12">
    <fb>577.67570000000001</fb>
    <v>33</v>
  </rv>
  <rv s="12">
    <fb>21.6</fb>
    <v>32</v>
  </rv>
  <rv s="12">
    <fb>253.49279999999999</fb>
    <v>33</v>
  </rv>
  <rv s="12">
    <fb>619.73749999999995</fb>
    <v>33</v>
  </rv>
  <rv s="12">
    <fb>69.099999999999994</fb>
    <v>32</v>
  </rv>
  <rv s="12">
    <fb>123.7013</fb>
    <v>33</v>
  </rv>
  <rv s="12">
    <fb>225.9059</fb>
    <v>33</v>
  </rv>
  <rv s="12">
    <fb>855.82</fb>
    <v>33</v>
  </rv>
  <rv s="12">
    <fb>55.9</fb>
    <v>32</v>
  </rv>
  <rv s="12">
    <fb>23.835000000000001</fb>
    <v>32</v>
  </rv>
  <rv s="12">
    <fb>162.31</fb>
    <v>33</v>
  </rv>
  <rv s="12">
    <fb>241.6139</fb>
    <v>33</v>
  </rv>
  <rv s="12">
    <fb>2.8271999999999999</fb>
    <v>32</v>
  </rv>
  <rv s="12">
    <fb>4.6479999999999997</fb>
    <v>34</v>
  </rv>
  <rv s="12">
    <fb>87.49</fb>
    <v>34</v>
  </rv>
  <rv s="12">
    <fb>4.6143999999999998</fb>
    <v>32</v>
  </rv>
  <rv s="12">
    <fb>262.39940000000001</fb>
    <v>33</v>
  </rv>
  <rv s="12">
    <fb>158.16999999999999</fb>
    <v>33</v>
  </rv>
  <rv s="12">
    <fb>287.93029999999999</fb>
    <v>33</v>
  </rv>
  <rv s="12">
    <fb>107.0519</fb>
    <v>33</v>
  </rv>
  <rv s="12">
    <fb>210.78899999999999</fb>
    <v>33</v>
  </rv>
  <rv s="12">
    <fb>15.77</fb>
    <v>32</v>
  </rv>
  <rv s="12">
    <fb>17.22</fb>
    <v>34</v>
  </rv>
  <rv s="12">
    <fb>28.84</fb>
    <v>34</v>
  </rv>
  <rv s="12">
    <fb>147.5</fb>
    <v>33</v>
  </rv>
  <rv s="12">
    <fb>124.63</fb>
    <v>33</v>
  </rv>
  <rv s="12">
    <fb>157.77000000000001</fb>
    <v>32</v>
  </rv>
  <rv s="12">
    <fb>383</fb>
    <v>32</v>
  </rv>
  <rv s="12">
    <fb>380.5</fb>
    <v>32</v>
  </rv>
  <rv s="12">
    <fb>127.91</fb>
    <v>32</v>
  </rv>
  <rv s="12">
    <fb>119.66</fb>
    <v>34</v>
  </rv>
  <rv s="12">
    <fb>1031.1747</fb>
    <v>33</v>
  </rv>
  <rv s="12">
    <fb>90.6</fb>
    <v>32</v>
  </rv>
  <rv s="12">
    <fb>10.997999999999999</fb>
    <v>32</v>
  </rv>
  <rv s="12">
    <fb>108.72499999999999</fb>
    <v>32</v>
  </rv>
  <rv s="12">
    <fb>163.2208</fb>
    <v>33</v>
  </rv>
  <rv s="12">
    <fb>569.50149999999996</fb>
    <v>33</v>
  </rv>
  <rv s="12">
    <fb>21.445</fb>
    <v>32</v>
  </rv>
  <rv s="12">
    <fb>250.18539999999999</fb>
    <v>33</v>
  </rv>
  <rv s="12">
    <fb>611.57169999999996</fb>
    <v>33</v>
  </rv>
  <rv s="12">
    <fb>68.069999999999993</fb>
    <v>32</v>
  </rv>
  <rv s="12">
    <fb>119.71680000000001</fb>
    <v>33</v>
  </rv>
  <rv s="12">
    <fb>222.21979999999999</fb>
    <v>33</v>
  </rv>
  <rv s="12">
    <fb>843.14</fb>
    <v>33</v>
  </rv>
  <rv s="12">
    <fb>23.555</fb>
    <v>32</v>
  </rv>
  <rv s="12">
    <fb>160.76</fb>
    <v>33</v>
  </rv>
  <rv s="12">
    <fb>239.678</fb>
    <v>33</v>
  </rv>
  <rv s="12">
    <fb>4.5715000000000003</fb>
    <v>34</v>
  </rv>
  <rv s="12">
    <fb>85.83</fb>
    <v>34</v>
  </rv>
  <rv s="12">
    <fb>4.5502000000000002</fb>
    <v>32</v>
  </rv>
  <rv s="12">
    <fb>248.48</fb>
    <v>32</v>
  </rv>
  <rv s="12">
    <fb>258.42559999999997</fb>
    <v>33</v>
  </rv>
  <rv s="12">
    <fb>157.38</fb>
    <v>33</v>
  </rv>
  <rv s="12">
    <fb>283.60480000000001</fb>
    <v>33</v>
  </rv>
  <rv s="12">
    <fb>106.608</fb>
    <v>33</v>
  </rv>
  <rv s="12">
    <fb>209.916</fb>
    <v>33</v>
  </rv>
  <rv s="12">
    <fb>15.704000000000001</fb>
    <v>32</v>
  </rv>
  <rv s="12">
    <fb>17.329999999999998</fb>
    <v>34</v>
  </rv>
  <rv s="12">
    <fb>28.94</fb>
    <v>34</v>
  </rv>
  <rv s="12">
    <fb>146.72999999999999</fb>
    <v>33</v>
  </rv>
  <rv s="12">
    <fb>123.69</fb>
    <v>33</v>
  </rv>
  <rv s="12">
    <fb>157.31</fb>
    <v>32</v>
  </rv>
  <rv s="12">
    <fb>381.9</fb>
    <v>32</v>
  </rv>
  <rv s="12">
    <fb>379.54</fb>
    <v>32</v>
  </rv>
  <rv s="12">
    <fb>127.55</fb>
    <v>32</v>
  </rv>
  <rv s="12">
    <fb>120.41</fb>
    <v>34</v>
  </rv>
  <rv s="12">
    <fb>1033.1713</fb>
    <v>33</v>
  </rv>
  <rv s="12">
    <fb>90.13</fb>
    <v>32</v>
  </rv>
  <rv s="12">
    <fb>117.96</fb>
    <v>32</v>
  </rv>
  <rv s="12">
    <fb>109.155</fb>
    <v>32</v>
  </rv>
  <rv s="12">
    <fb>164.4366</fb>
    <v>33</v>
  </rv>
  <rv s="12">
    <fb>574.42240000000004</fb>
    <v>33</v>
  </rv>
  <rv s="12">
    <fb>21.67</fb>
    <v>32</v>
  </rv>
  <rv s="12">
    <fb>251.77090000000001</fb>
    <v>33</v>
  </rv>
  <rv s="12">
    <fb>623.97770000000003</fb>
    <v>33</v>
  </rv>
  <rv s="12">
    <fb>68.400000000000006</fb>
    <v>32</v>
  </rv>
  <rv s="12">
    <fb>121.44289999999999</fb>
    <v>33</v>
  </rv>
  <rv s="12">
    <fb>224.2585</fb>
    <v>33</v>
  </rv>
  <rv s="12">
    <fb>846.32</fb>
    <v>33</v>
  </rv>
  <rv s="12">
    <fb>54.89</fb>
    <v>32</v>
  </rv>
  <rv s="12">
    <fb>23.504999999999999</fb>
    <v>32</v>
  </rv>
  <rv s="12">
    <fb>155.94999999999999</fb>
    <v>33</v>
  </rv>
  <rv s="12">
    <fb>232.22200000000001</fb>
    <v>33</v>
  </rv>
  <rv s="12">
    <fb>2.7665000000000002</fb>
    <v>32</v>
  </rv>
  <rv s="12">
    <fb>4.5730000000000004</fb>
    <v>34</v>
  </rv>
  <rv s="12">
    <fb>86.385000000000005</fb>
    <v>34</v>
  </rv>
  <rv s="12">
    <fb>4.5826000000000002</fb>
    <v>32</v>
  </rv>
  <rv s="12">
    <fb>250.4</fb>
    <v>32</v>
  </rv>
  <rv s="12">
    <fb>259.851</fb>
    <v>33</v>
  </rv>
  <rv s="12">
    <fb>157.66999999999999</fb>
    <v>33</v>
  </rv>
  <rv s="12">
    <fb>286.2697</fb>
    <v>33</v>
  </rv>
  <rv s="12">
    <fb>106.8228</fb>
    <v>33</v>
  </rv>
  <rv s="12">
    <fb>210.215</fb>
    <v>33</v>
  </rv>
  <rv s="12">
    <fb>15.246</fb>
    <v>32</v>
  </rv>
  <rv s="12">
    <fb>16.59</fb>
    <v>34</v>
  </rv>
  <rv s="12">
    <fb>27.75</fb>
    <v>34</v>
  </rv>
  <rv s="12">
    <fb>147.30000000000001</fb>
    <v>33</v>
  </rv>
  <rv s="12">
    <fb>122.97</fb>
    <v>33</v>
  </rv>
  <rv s="12">
    <fb>149.74</fb>
    <v>32</v>
  </rv>
  <rv s="12">
    <fb>363.52</fb>
    <v>32</v>
  </rv>
  <rv s="12">
    <fb>361.2</fb>
    <v>32</v>
  </rv>
  <rv s="12">
    <fb>121.43</fb>
    <v>32</v>
  </rv>
  <rv s="12">
    <fb>120.61</fb>
    <v>34</v>
  </rv>
  <rv s="12">
    <fb>1032.5442</fb>
    <v>33</v>
  </rv>
  <rv s="12">
    <fb>92.56</fb>
    <v>32</v>
  </rv>
  <rv s="12">
    <fb>121.5</fb>
    <v>32</v>
  </rv>
  <rv s="12">
    <fb>11.036</fb>
    <v>32</v>
  </rv>
  <rv s="12">
    <fb>109.12</fb>
    <v>32</v>
  </rv>
  <rv s="12">
    <fb>165.1559</fb>
    <v>33</v>
  </rv>
  <rv s="12">
    <fb>577.02160000000003</fb>
    <v>33</v>
  </rv>
  <rv s="12">
    <fb>22.015000000000001</fb>
    <v>32</v>
  </rv>
  <rv s="12">
    <fb>253.44049999999999</fb>
    <v>33</v>
  </rv>
  <rv s="12">
    <fb>617.62580000000003</fb>
    <v>33</v>
  </rv>
  <rv s="12">
    <fb>68.58</fb>
    <v>32</v>
  </rv>
  <rv s="12">
    <fb>121.1484</fb>
    <v>33</v>
  </rv>
  <rv s="12">
    <fb>224.4795</fb>
    <v>33</v>
  </rv>
  <rv s="12">
    <fb>850.88</fb>
    <v>33</v>
  </rv>
  <rv s="12">
    <fb>23.65</fb>
    <v>32</v>
  </rv>
  <rv s="12">
    <fb>158.38</fb>
    <v>33</v>
  </rv>
  <rv s="12">
    <fb>235.7336</fb>
    <v>33</v>
  </rv>
  <rv s="12">
    <fb>2.7625999999999999</fb>
    <v>32</v>
  </rv>
  <rv s="12">
    <fb>4.5759999999999996</fb>
    <v>34</v>
  </rv>
  <rv s="12">
    <fb>86.01</fb>
    <v>34</v>
  </rv>
  <rv s="12">
    <fb>250.45</fb>
    <v>32</v>
  </rv>
  <rv s="12">
    <fb>258.42869999999999</fb>
    <v>33</v>
  </rv>
  <rv s="12">
    <fb>157.32</fb>
    <v>33</v>
  </rv>
  <rv s="12">
    <fb>284.22449999999998</fb>
    <v>33</v>
  </rv>
  <rv s="12">
    <fb>106.678</fb>
    <v>33</v>
  </rv>
  <rv s="12">
    <fb>210.047</fb>
    <v>33</v>
  </rv>
  <rv s="12">
    <fb>15.433999999999999</fb>
    <v>32</v>
  </rv>
  <rv s="12">
    <fb>16.88</fb>
    <v>34</v>
  </rv>
  <rv s="12">
    <fb>28.24</fb>
    <v>34</v>
  </rv>
  <rv s="12">
    <fb>122.92</fb>
    <v>33</v>
  </rv>
  <rv s="12">
    <fb>150.94</fb>
    <v>32</v>
  </rv>
  <rv s="12">
    <fb>366.52</fb>
    <v>32</v>
  </rv>
  <rv s="12">
    <fb>364.2</fb>
    <v>32</v>
  </rv>
  <rv s="12">
    <fb>122.43</fb>
    <v>32</v>
  </rv>
  <rv s="12">
    <fb>120.54</fb>
    <v>34</v>
  </rv>
  <rv s="12">
    <fb>1031.5858000000001</fb>
    <v>33</v>
  </rv>
  <rv s="12">
    <fb>92.85</fb>
    <v>32</v>
  </rv>
  <rv s="12">
    <fb>121.62</fb>
    <v>32</v>
  </rv>
  <rv s="12">
    <fb>11.141999999999999</fb>
    <v>32</v>
  </rv>
  <rv s="12">
    <fb>110.185</fb>
    <v>32</v>
  </rv>
  <rv s="12">
    <fb>168.18469999999999</fb>
    <v>33</v>
  </rv>
  <rv s="12">
    <fb>587.56200000000001</fb>
    <v>33</v>
  </rv>
  <rv s="12">
    <fb>22.2</fb>
    <v>32</v>
  </rv>
  <rv s="12">
    <fb>256.654</fb>
    <v>33</v>
  </rv>
  <rv s="12">
    <fb>629.51940000000002</fb>
    <v>33</v>
  </rv>
  <rv s="12">
    <fb>69.709999999999994</fb>
    <v>32</v>
  </rv>
  <rv s="12">
    <fb>123.98779999999999</fb>
    <v>33</v>
  </rv>
  <rv s="12">
    <fb>228.8133</fb>
    <v>33</v>
  </rv>
  <rv s="12">
    <fb>868.65</fb>
    <v>33</v>
  </rv>
  <rv s="12">
    <fb>56.18</fb>
    <v>32</v>
  </rv>
  <rv s="12">
    <fb>24.004999999999999</fb>
    <v>32</v>
  </rv>
  <rv s="12">
    <fb>161.78</fb>
    <v>33</v>
  </rv>
  <rv s="12">
    <fb>241.0034</fb>
    <v>33</v>
  </rv>
  <rv s="12">
    <fb>2.7932999999999999</fb>
    <v>32</v>
  </rv>
  <rv s="12">
    <fb>4.6070000000000002</fb>
    <v>34</v>
  </rv>
  <rv s="12">
    <fb>86.84</fb>
    <v>34</v>
  </rv>
  <rv s="12">
    <fb>4.6360000000000001</fb>
    <v>32</v>
  </rv>
  <rv s="12">
    <fb>254.05</fb>
    <v>32</v>
  </rv>
  <rv s="12">
    <fb>258.61349999999999</fb>
    <v>33</v>
  </rv>
  <rv s="12">
    <fb>157.49</fb>
    <v>33</v>
  </rv>
  <rv s="12">
    <fb>285.08640000000003</fb>
    <v>33</v>
  </rv>
  <rv s="12">
    <fb>106.96720000000001</fb>
    <v>33</v>
  </rv>
  <rv s="12">
    <fb>210.624</fb>
    <v>33</v>
  </rv>
  <rv s="12">
    <fb>15.37</fb>
    <v>32</v>
  </rv>
  <rv s="12">
    <fb>16.829999999999998</fb>
    <v>34</v>
  </rv>
  <rv s="12">
    <fb>28.17</fb>
    <v>34</v>
  </rv>
  <rv s="12">
    <fb>123.15</fb>
    <v>33</v>
  </rv>
  <rv s="12">
    <fb>156.02000000000001</fb>
    <v>32</v>
  </rv>
  <rv s="12">
    <fb>378.8</fb>
    <v>32</v>
  </rv>
  <rv s="12">
    <fb>376.42</fb>
    <v>32</v>
  </rv>
  <rv s="12">
    <fb>126.56</fb>
    <v>32</v>
  </rv>
  <rv s="12">
    <fb>120.42</fb>
    <v>34</v>
  </rv>
  <rv s="12">
    <fb>1030.9574</fb>
    <v>33</v>
  </rv>
  <rv s="12">
    <fb>94.83</fb>
    <v>32</v>
  </rv>
  <rv s="12">
    <fb>124.66</fb>
    <v>32</v>
  </rv>
  <rv s="12">
    <fb>420</fb>
    <v>35</v>
  </rv>
  <rv s="12">
    <fb>11.004</fb>
    <v>32</v>
  </rv>
  <rv s="12">
    <fb>109.02</fb>
    <v>32</v>
  </rv>
  <rv s="12">
    <fb>166.49700000000001</fb>
    <v>33</v>
  </rv>
  <rv s="12">
    <fb>581.46029999999996</fb>
    <v>33</v>
  </rv>
  <rv s="12">
    <fb>22.19</fb>
    <v>32</v>
  </rv>
  <rv s="12">
    <fb>256.88749999999999</fb>
    <v>33</v>
  </rv>
  <rv s="12">
    <fb>621.37099999999998</fb>
    <v>33</v>
  </rv>
  <rv s="12">
    <fb>123.5205</fb>
    <v>33</v>
  </rv>
  <rv s="12">
    <fb>226.95599999999999</fb>
    <v>33</v>
  </rv>
  <rv s="12">
    <fb>862.01</fb>
    <v>33</v>
  </rv>
  <rv s="12">
    <fb>55.72</fb>
    <v>32</v>
  </rv>
  <rv s="12">
    <fb>23.465</fb>
    <v>32</v>
  </rv>
  <rv s="12">
    <fb>238.48099999999999</fb>
    <v>33</v>
  </rv>
  <rv s="12">
    <fb>2.7787999999999999</fb>
    <v>32</v>
  </rv>
  <rv s="12">
    <fb>86.11</fb>
    <v>34</v>
  </rv>
  <rv s="12">
    <fb>4.5595999999999997</fb>
    <v>32</v>
  </rv>
  <rv s="12">
    <fb>249.31</fb>
    <v>32</v>
  </rv>
  <rv s="12">
    <fb>256.41770000000002</fb>
    <v>33</v>
  </rv>
  <rv s="12">
    <fb>157.06</fb>
    <v>33</v>
  </rv>
  <rv s="12">
    <fb>281.96510000000001</fb>
    <v>33</v>
  </rv>
  <rv s="12">
    <fb>106.44840000000001</fb>
    <v>33</v>
  </rv>
  <rv s="12">
    <fb>209.77199999999999</fb>
    <v>33</v>
  </rv>
  <rv s="12">
    <fb>15.666</fb>
    <v>32</v>
  </rv>
  <rv s="12">
    <fb>17.02</fb>
    <v>34</v>
  </rv>
  <rv s="12">
    <fb>28.44</fb>
    <v>34</v>
  </rv>
  <rv s="12">
    <fb>122.82</fb>
    <v>33</v>
  </rv>
  <rv s="12">
    <fb>150.88</fb>
    <v>32</v>
  </rv>
  <rv s="12">
    <fb>366.4</fb>
    <v>32</v>
  </rv>
  <rv s="12">
    <fb>364.18</fb>
    <v>32</v>
  </rv>
  <rv s="12">
    <fb>122.44</fb>
    <v>32</v>
  </rv>
  <rv s="12">
    <fb>121.29</fb>
    <v>34</v>
  </rv>
  <rv s="12">
    <fb>1020.8584</fb>
    <v>33</v>
  </rv>
  <rv s="12">
    <fb>92.27</fb>
    <v>32</v>
  </rv>
  <rv s="12">
    <fb>120.7</fb>
    <v>32</v>
  </rv>
  <rv s="12">
    <fb>417.5</fb>
    <v>35</v>
  </rv>
  <rv s="12">
    <fb>10.852</fb>
    <v>32</v>
  </rv>
  <rv s="12">
    <fb>107.47499999999999</fb>
    <v>32</v>
  </rv>
  <rv s="12">
    <fb>164.8604</fb>
    <v>33</v>
  </rv>
  <rv s="12">
    <fb>576.96680000000003</fb>
    <v>33</v>
  </rv>
  <rv s="12">
    <fb>22.04</fb>
    <v>32</v>
  </rv>
  <rv s="12">
    <fb>255.57560000000001</fb>
    <v>33</v>
  </rv>
  <rv s="12">
    <fb>618.22569999999996</fb>
    <v>33</v>
  </rv>
  <rv s="12">
    <fb>67.040000000000006</fb>
    <v>32</v>
  </rv>
  <rv s="12">
    <fb>121.9466</fb>
    <v>33</v>
  </rv>
  <rv s="12">
    <fb>225.62389999999999</fb>
    <v>33</v>
  </rv>
  <rv s="12">
    <fb>857.13</fb>
    <v>33</v>
  </rv>
  <rv s="12">
    <fb>55.06</fb>
    <v>32</v>
  </rv>
  <rv s="12">
    <fb>23.315000000000001</fb>
    <v>32</v>
  </rv>
  <rv s="12">
    <fb>159.76</fb>
    <v>33</v>
  </rv>
  <rv s="12">
    <fb>237.83519999999999</fb>
    <v>33</v>
  </rv>
  <rv s="12">
    <fb>2.7778</fb>
    <v>32</v>
  </rv>
  <rv s="12">
    <fb>4.5674999999999999</fb>
    <v>34</v>
  </rv>
  <rv s="12">
    <fb>85.64</fb>
    <v>34</v>
  </rv>
  <rv s="12">
    <fb>4.5121000000000002</fb>
    <v>32</v>
  </rv>
  <rv s="12">
    <fb>246.45</fb>
    <v>32</v>
  </rv>
  <rv s="12">
    <fb>255.0761</fb>
    <v>33</v>
  </rv>
  <rv s="12">
    <fb>156.94999999999999</fb>
    <v>33</v>
  </rv>
  <rv s="12">
    <fb>279.40140000000002</fb>
    <v>33</v>
  </rv>
  <rv s="12">
    <fb>106.28789999999999</fb>
    <v>33</v>
  </rv>
  <rv s="12">
    <fb>208.89500000000001</fb>
    <v>33</v>
  </rv>
  <rv s="12">
    <fb>15.805999999999999</fb>
    <v>32</v>
  </rv>
  <rv s="12">
    <fb>17.399999999999999</fb>
    <v>34</v>
  </rv>
  <rv s="12">
    <fb>29.1</fb>
    <v>34</v>
  </rv>
  <rv s="12">
    <fb>122.04</fb>
    <v>33</v>
  </rv>
  <rv s="12">
    <fb>155.41999999999999</fb>
    <v>32</v>
  </rv>
  <rv s="12">
    <fb>377.24</fb>
    <v>32</v>
  </rv>
  <rv s="12">
    <fb>374.88</fb>
    <v>32</v>
  </rv>
  <rv s="12">
    <fb>126.05</fb>
    <v>32</v>
  </rv>
  <rv s="12">
    <fb>122.18</fb>
    <v>34</v>
  </rv>
  <rv s="12">
    <fb>1020.2122000000001</fb>
    <v>33</v>
  </rv>
  <rv s="12">
    <fb>89.79</fb>
    <v>32</v>
  </rv>
  <rv s="12">
    <fb>117.98</fb>
    <v>32</v>
  </rv>
  <rv s="12">
    <fb>10.926</fb>
    <v>32</v>
  </rv>
  <rv s="12">
    <fb>108.205</fb>
    <v>32</v>
  </rv>
  <rv s="12">
    <fb>166.58019999999999</fb>
    <v>33</v>
  </rv>
  <rv s="12">
    <fb>582.53250000000003</fb>
    <v>33</v>
  </rv>
  <rv s="12">
    <fb>22.125</fb>
    <v>32</v>
  </rv>
  <rv s="12">
    <fb>258.95229999999998</fb>
    <v>33</v>
  </rv>
  <rv s="12">
    <fb>623.11569999999995</fb>
    <v>33</v>
  </rv>
  <rv s="12">
    <fb>66.83</fb>
    <v>32</v>
  </rv>
  <rv s="12">
    <fb>122.9371</fb>
    <v>33</v>
  </rv>
  <rv s="12">
    <fb>227.68469999999999</fb>
    <v>33</v>
  </rv>
  <rv s="12">
    <fb>864.94</fb>
    <v>33</v>
  </rv>
  <rv s="12">
    <fb>23.184999999999999</fb>
    <v>32</v>
  </rv>
  <rv s="12">
    <fb>158.52000000000001</fb>
    <v>33</v>
  </rv>
  <rv s="12">
    <fb>235.76130000000001</fb>
    <v>33</v>
  </rv>
  <rv s="12">
    <fb>2.8220999999999998</fb>
    <v>32</v>
  </rv>
  <rv s="12">
    <fb>4.6109999999999998</fb>
    <v>34</v>
  </rv>
  <rv s="12">
    <fb>86.78</fb>
    <v>34</v>
  </rv>
  <rv s="12">
    <fb>4.5633999999999997</fb>
    <v>32</v>
  </rv>
  <rv s="12">
    <fb>249.36</fb>
    <v>32</v>
  </rv>
  <rv s="12">
    <fb>256.92189999999999</fb>
    <v>33</v>
  </rv>
  <rv s="12">
    <fb>281.37349999999998</fb>
    <v>33</v>
  </rv>
  <rv s="12">
    <fb>106.5925</fb>
    <v>33</v>
  </rv>
  <rv s="12">
    <fb>208.965</fb>
    <v>33</v>
  </rv>
  <rv s="12">
    <fb>16.004000000000001</fb>
    <v>32</v>
  </rv>
  <rv s="12">
    <fb>17.5</fb>
    <v>34</v>
  </rv>
  <rv s="12">
    <fb>29.26</fb>
    <v>34</v>
  </rv>
  <rv s="12">
    <fb>122.54</fb>
    <v>33</v>
  </rv>
  <rv s="12">
    <fb>157.30000000000001</fb>
    <v>32</v>
  </rv>
  <rv s="12">
    <fb>381.96</fb>
    <v>32</v>
  </rv>
  <rv s="12">
    <fb>379.6</fb>
    <v>32</v>
  </rv>
  <rv s="12">
    <fb>127.64</fb>
    <v>32</v>
  </rv>
  <rv s="12">
    <fb>122.17</fb>
    <v>34</v>
  </rv>
  <rv s="12">
    <fb>1018.0957</fb>
    <v>33</v>
  </rv>
  <rv s="12">
    <fb>87.91</fb>
    <v>32</v>
  </rv>
  <rv s="12">
    <fb>115.76</fb>
    <v>32</v>
  </rv>
  <rv s="12">
    <fb>418</fb>
    <v>35</v>
  </rv>
  <rv s="12">
    <fb>10.914</fb>
    <v>32</v>
  </rv>
  <rv s="12">
    <fb>108.05500000000001</fb>
    <v>32</v>
  </rv>
  <rv s="12">
    <fb>169.03039999999999</fb>
    <v>33</v>
  </rv>
  <rv s="12">
    <fb>590.50739999999996</fb>
    <v>33</v>
  </rv>
  <rv s="12">
    <fb>22.08</fb>
    <v>32</v>
  </rv>
  <rv s="12">
    <fb>261.80900000000003</fb>
    <v>33</v>
  </rv>
  <rv s="12">
    <fb>635.83900000000006</fb>
    <v>33</v>
  </rv>
  <rv s="12">
    <fb>66.87</fb>
    <v>32</v>
  </rv>
  <rv s="12">
    <fb>125.2229</fb>
    <v>33</v>
  </rv>
  <rv s="12">
    <fb>231.3417</fb>
    <v>33</v>
  </rv>
  <rv s="12">
    <fb>877.37</fb>
    <v>33</v>
  </rv>
  <rv s="12">
    <fb>54.83</fb>
    <v>32</v>
  </rv>
  <rv s="12">
    <fb>23.305</fb>
    <v>32</v>
  </rv>
  <rv s="12">
    <fb>232.87690000000001</fb>
    <v>33</v>
  </rv>
  <rv s="12">
    <fb>2.7974000000000001</fb>
    <v>32</v>
  </rv>
  <rv s="12">
    <fb>86.69</fb>
    <v>34</v>
  </rv>
  <rv s="12">
    <fb>4.6024000000000003</fb>
    <v>32</v>
  </rv>
  <rv s="12">
    <fb>252.05</fb>
    <v>32</v>
  </rv>
  <rv s="12">
    <fb>258.28960000000001</fb>
    <v>33</v>
  </rv>
  <rv s="12">
    <fb>283.49299999999999</fb>
    <v>33</v>
  </rv>
  <rv s="12">
    <fb>106.8296</fb>
    <v>33</v>
  </rv>
  <rv s="12">
    <fb>209.958</fb>
    <v>33</v>
  </rv>
  <rv s="12">
    <fb>15.872</fb>
    <v>32</v>
  </rv>
  <rv s="12">
    <fb>17.32</fb>
    <v>34</v>
  </rv>
  <rv s="12">
    <fb>28.95</fb>
    <v>34</v>
  </rv>
  <rv s="12">
    <fb>147.57</fb>
    <v>33</v>
  </rv>
  <rv s="12">
    <fb>123.24</fb>
    <v>33</v>
  </rv>
  <rv s="12">
    <fb>158.79</fb>
    <v>32</v>
  </rv>
  <rv s="12">
    <fb>385.38</fb>
    <v>32</v>
  </rv>
  <rv s="12">
    <fb>383.36</fb>
    <v>32</v>
  </rv>
  <rv s="12">
    <fb>128.80000000000001</fb>
    <v>32</v>
  </rv>
  <rv s="12">
    <fb>121.11</fb>
    <v>34</v>
  </rv>
  <rv s="12">
    <fb>1015.3819999999999</fb>
    <v>33</v>
  </rv>
  <rv s="12">
    <fb>170.1524</fb>
    <v>33</v>
  </rv>
  <rv s="12">
    <fb>86.23</fb>
    <v>32</v>
  </rv>
  <rv s="12">
    <fb>113</fb>
    <v>32</v>
  </rv>
  <rv s="12">
    <fb>11.154</fb>
    <v>32</v>
  </rv>
  <rv s="12">
    <fb>110.355</fb>
    <v>32</v>
  </rv>
  <rv s="12">
    <fb>173.60730000000001</fb>
    <v>33</v>
  </rv>
  <rv s="12">
    <fb>605.5951</fb>
    <v>33</v>
  </rv>
  <rv s="12">
    <fb>266.428</fb>
    <v>33</v>
  </rv>
  <rv s="12">
    <fb>644.69650000000001</fb>
    <v>33</v>
  </rv>
  <rv s="12">
    <fb>69.98</fb>
    <v>32</v>
  </rv>
  <rv s="12">
    <fb>128.4016</fb>
    <v>33</v>
  </rv>
  <rv s="12">
    <fb>236.9528</fb>
    <v>33</v>
  </rv>
  <rv s="12">
    <fb>896.29</fb>
    <v>33</v>
  </rv>
  <rv s="12">
    <fb>56.62</fb>
    <v>32</v>
  </rv>
  <rv s="12">
    <fb>24</fb>
    <v>32</v>
  </rv>
  <rv s="12">
    <fb>160.6</fb>
    <v>33</v>
  </rv>
  <rv s="12">
    <fb>238.84540000000001</fb>
    <v>33</v>
  </rv>
  <rv s="12">
    <fb>2.7867999999999999</fb>
    <v>32</v>
  </rv>
  <rv s="12">
    <fb>4.6234999999999999</fb>
    <v>34</v>
  </rv>
  <rv s="12">
    <fb>86.26</fb>
    <v>34</v>
  </rv>
  <rv s="12">
    <fb>4.6052</fb>
    <v>32</v>
  </rv>
  <rv s="12">
    <fb>252.62</fb>
    <v>32</v>
  </rv>
  <rv s="12">
    <fb>259.62189999999998</fb>
    <v>33</v>
  </rv>
  <rv s="12">
    <fb>157.97</fb>
    <v>33</v>
  </rv>
  <rv s="12">
    <fb>286.2276</fb>
    <v>33</v>
  </rv>
  <rv s="12">
    <fb>107.02030000000001</fb>
    <v>33</v>
  </rv>
  <rv s="12">
    <fb>210.84100000000001</fb>
    <v>33</v>
  </rv>
  <rv s="12">
    <fb>15.446</fb>
    <v>32</v>
  </rv>
  <rv s="12">
    <fb>17.100000000000001</fb>
    <v>34</v>
  </rv>
  <rv s="12">
    <fb>28.68</fb>
    <v>34</v>
  </rv>
  <rv s="12">
    <fb>147.85</fb>
    <v>33</v>
  </rv>
  <rv s="12">
    <fb>123.72</fb>
    <v>33</v>
  </rv>
  <rv s="12">
    <fb>163.22999999999999</fb>
    <v>32</v>
  </rv>
  <rv s="12">
    <fb>396.32</fb>
    <v>32</v>
  </rv>
  <rv s="12">
    <fb>393.88</fb>
    <v>32</v>
  </rv>
  <rv s="12">
    <fb>132.46</fb>
    <v>32</v>
  </rv>
  <rv s="12">
    <fb>120.38</fb>
    <v>34</v>
  </rv>
  <rv s="12">
    <fb>1012.4671</fb>
    <v>33</v>
  </rv>
  <rv s="12">
    <fb>83.7</fb>
    <v>32</v>
  </rv>
  <rv s="12">
    <fb>111.06</fb>
    <v>32</v>
  </rv>
  <rv s="12">
    <fb>11.135999999999999</fb>
    <v>32</v>
  </rv>
  <rv s="12">
    <fb>110.38</fb>
    <v>32</v>
  </rv>
  <rv s="12">
    <fb>171.20660000000001</fb>
    <v>33</v>
  </rv>
  <rv s="12">
    <fb>597.80719999999997</fb>
    <v>33</v>
  </rv>
  <rv s="12">
    <fb>22.405000000000001</fb>
    <v>32</v>
  </rv>
  <rv s="12">
    <fb>264.20769999999999</fb>
    <v>33</v>
  </rv>
  <rv s="12">
    <fb>639.80840000000001</fb>
    <v>33</v>
  </rv>
  <rv s="12">
    <fb>125.6857</fb>
    <v>33</v>
  </rv>
  <rv s="12">
    <fb>233.56790000000001</fb>
    <v>33</v>
  </rv>
  <rv s="12">
    <fb>879.4</fb>
    <v>33</v>
  </rv>
  <rv s="12">
    <fb>56.44</fb>
    <v>32</v>
  </rv>
  <rv s="12">
    <fb>23.75</fb>
    <v>32</v>
  </rv>
  <rv s="12">
    <fb>159.06</fb>
    <v>33</v>
  </rv>
  <rv s="12">
    <fb>236.31180000000001</fb>
    <v>33</v>
  </rv>
  <rv s="12">
    <fb>2.8081</fb>
    <v>32</v>
  </rv>
  <rv s="12">
    <fb>86.79</fb>
    <v>34</v>
  </rv>
  <rv s="12">
    <fb>4.6071</fb>
    <v>32</v>
  </rv>
  <rv s="12">
    <fb>252.29</fb>
    <v>32</v>
  </rv>
  <rv s="12">
    <fb>257.76060000000001</fb>
    <v>33</v>
  </rv>
  <rv s="12">
    <fb>157.58000000000001</fb>
    <v>33</v>
  </rv>
  <rv s="12">
    <fb>283.9049</fb>
    <v>33</v>
  </rv>
  <rv s="12">
    <fb>107.0487</fb>
    <v>33</v>
  </rv>
  <rv s="12">
    <fb>210.75399999999999</fb>
    <v>33</v>
  </rv>
  <rv s="12">
    <fb>15.602</fb>
    <v>32</v>
  </rv>
  <rv s="12">
    <fb>17.52</fb>
    <v>34</v>
  </rv>
  <rv s="12">
    <fb>29.33</fb>
    <v>34</v>
  </rv>
  <rv s="12">
    <fb>147.52000000000001</fb>
    <v>33</v>
  </rv>
  <rv s="12">
    <fb>160.4</fb>
    <v>32</v>
  </rv>
  <rv s="12">
    <fb>389.22</fb>
    <v>32</v>
  </rv>
  <rv s="12">
    <fb>386.84</fb>
    <v>32</v>
  </rv>
  <rv s="12">
    <fb>130.1</fb>
    <v>32</v>
  </rv>
  <rv s="12">
    <fb>120.59</fb>
    <v>34</v>
  </rv>
  <rv s="12">
    <fb>1012.6337</fb>
    <v>33</v>
  </rv>
  <rv s="12">
    <fb>76.569999999999993</fb>
    <v>32</v>
  </rv>
  <rv s="12">
    <fb>105.76</fb>
    <v>32</v>
  </rv>
  <rv s="12">
    <fb>414.5</fb>
    <v>35</v>
  </rv>
  <rv s="12">
    <fb>17.55</fb>
    <v>34</v>
  </rv>
  <rv s="12">
    <fb>29.48</fb>
    <v>34</v>
  </rv>
  <rv s="12">
    <fb>109.72499999999999</fb>
    <v>32</v>
  </rv>
  <rv s="12">
    <fb>171.10730000000001</fb>
    <v>33</v>
  </rv>
  <rv s="12">
    <fb>598.12260000000003</fb>
    <v>33</v>
  </rv>
  <rv s="12">
    <fb>22.46</fb>
    <v>32</v>
  </rv>
  <rv s="12">
    <fb>263.39370000000002</fb>
    <v>33</v>
  </rv>
  <rv s="12">
    <fb>641.06399999999996</fb>
    <v>33</v>
  </rv>
  <rv s="12">
    <fb>69.44</fb>
    <v>32</v>
  </rv>
  <rv s="12">
    <fb>125.7482</fb>
    <v>33</v>
  </rv>
  <rv s="12">
    <fb>233.92240000000001</fb>
    <v>33</v>
  </rv>
  <rv s="12">
    <fb>881.21</fb>
    <v>33</v>
  </rv>
  <rv s="12">
    <fb>23.66</fb>
    <v>32</v>
  </rv>
  <rv s="12">
    <fb>242.7483</fb>
    <v>33</v>
  </rv>
  <rv s="12">
    <fb>2.7804000000000002</fb>
    <v>32</v>
  </rv>
  <rv s="12">
    <fb>86.64</fb>
    <v>34</v>
  </rv>
  <rv s="12">
    <fb>4.5411000000000001</fb>
    <v>32</v>
  </rv>
  <rv s="12">
    <fb>248.62</fb>
    <v>32</v>
  </rv>
  <rv s="12">
    <fb>257.2937</fb>
    <v>33</v>
  </rv>
  <rv s="12">
    <fb>283.98540000000003</fb>
    <v>33</v>
  </rv>
  <rv s="12">
    <fb>106.83880000000001</fb>
    <v>33</v>
  </rv>
  <rv s="12">
    <fb>211.04499999999999</fb>
    <v>33</v>
  </rv>
  <rv s="12">
    <fb>29.37</fb>
    <v>34</v>
  </rv>
  <rv s="12">
    <fb>146.88</fb>
    <v>33</v>
  </rv>
  <rv s="12">
    <fb>159.21</fb>
    <v>32</v>
  </rv>
  <rv s="12">
    <fb>386.62</fb>
    <v>32</v>
  </rv>
  <rv s="12">
    <fb>384.22</fb>
    <v>32</v>
  </rv>
  <rv s="12">
    <fb>129.16999999999999</fb>
    <v>32</v>
  </rv>
  <rv s="12">
    <fb>120.7</fb>
    <v>34</v>
  </rv>
  <rv s="12">
    <fb>1012.3739</fb>
    <v>33</v>
  </rv>
  <rv s="12">
    <fb>75.760000000000005</fb>
    <v>32</v>
  </rv>
  <rv s="12">
    <fb>105.98</fb>
    <v>32</v>
  </rv>
  <rv s="12">
    <fb>411.5</fb>
    <v>35</v>
  </rv>
  <rv s="13">
    <v>36</v>
    <v>br6dmw</v>
    <v>Daily</v>
    <v>45992</v>
    <v>46119</v>
    <v>0</v>
    <v>1</v>
    <v>639106848000000000,639122869866431998,0</v>
    <v>0</v>
    <v>br6dmw</v>
    <v/>
    <v>1</v>
  </rv>
  <rv s="13">
    <v>37</v>
    <v>btx9hw</v>
    <v>Daily</v>
    <v>45992</v>
    <v>46119</v>
    <v>0</v>
    <v>1</v>
    <v>639111168000000000,639122869994089034,0</v>
    <v>2</v>
    <v>btx9hw</v>
    <v>XETR:8PSG</v>
    <v>3</v>
  </rv>
  <rv s="13">
    <v>37</v>
    <v>afv1vh</v>
    <v>Daily</v>
    <v>45992</v>
    <v>46119</v>
    <v>0</v>
    <v>1</v>
    <v>639111168000000000,639122869836944626,0</v>
    <v>2</v>
    <v>afv1vh</v>
    <v>XETR:XDEM</v>
    <v>4</v>
  </rv>
  <rv s="13">
    <v>36</v>
    <v>c1vxbh</v>
    <v>Daily</v>
    <v>45992</v>
    <v>46119</v>
    <v>0</v>
    <v>1</v>
    <v>639111168000000000,639122869929606868,0</v>
    <v>5</v>
    <v>c1vxbh</v>
    <v/>
    <v>6</v>
  </rv>
  <rv s="13">
    <v>37</v>
    <v>afv252</v>
    <v>Daily</v>
    <v>45992</v>
    <v>46119</v>
    <v>0</v>
    <v>1</v>
    <v>639111168000000000,639122869858787075,0</v>
    <v>2</v>
    <v>afv252</v>
    <v>XETR:XDEV</v>
    <v>7</v>
  </rv>
  <rv s="13">
    <v>37</v>
    <v>cereu2</v>
    <v>Daily</v>
    <v>45992</v>
    <v>46119</v>
    <v>0</v>
    <v>1</v>
    <v>639111168000000000,639123548032972977,0</v>
    <v>2</v>
    <v>cereu2</v>
    <v>XETR:AVWS</v>
    <v>8</v>
  </rv>
  <rv s="13">
    <v>36</v>
    <v>auurim</v>
    <v>Daily</v>
    <v>45992</v>
    <v>46119</v>
    <v>0</v>
    <v>1</v>
    <v>639111168000000000,639122869820093266,0</v>
    <v>9</v>
    <v>auurim</v>
    <v/>
    <v>10</v>
  </rv>
  <rv s="13">
    <v>36</v>
    <v>autmlh</v>
    <v>Daily</v>
    <v>45992</v>
    <v>46119</v>
    <v>0</v>
    <v>1</v>
    <v>639111168000000000,639122869828824719,0</v>
    <v>11</v>
    <v>autmlh</v>
    <v/>
    <v>12</v>
  </rv>
  <rv s="13">
    <v>37</v>
    <v>cfde27</v>
    <v>Daily</v>
    <v>45992</v>
    <v>46119</v>
    <v>0</v>
    <v>1</v>
    <v>639111168000000000,639123548029790543,0</v>
    <v>2</v>
    <v>cfde27</v>
    <v>XETR:AVEM</v>
    <v>13</v>
  </rv>
  <rv s="13">
    <v>38</v>
    <v>a24b5r</v>
    <v>Daily</v>
    <v>45992</v>
    <v>46119</v>
    <v>0</v>
    <v>1</v>
    <v>639111168000000000,639122869893748855,0</v>
    <v>14</v>
    <v>a24b5r</v>
    <v>XNAS:TLT</v>
    <v>15</v>
  </rv>
  <rv s="13">
    <v>36</v>
    <v>c2qjk2</v>
    <v>Daily</v>
    <v>45992</v>
    <v>46119</v>
    <v>0</v>
    <v>1</v>
    <v>639111168000000000,639122869841956573,0</v>
    <v>9</v>
    <v>c2qjk2</v>
    <v/>
    <v>16</v>
  </rv>
  <rv s="13">
    <v>38</v>
    <v>as9bjc</v>
    <v>Daily</v>
    <v>45992</v>
    <v>46119</v>
    <v>0</v>
    <v>1</v>
    <v>639111168000000000,639122870022130859,0</v>
    <v>17</v>
    <v>as9bjc</v>
    <v/>
    <v>18</v>
  </rv>
  <rv s="13">
    <v>36</v>
    <v>bubxlh</v>
    <v>Daily</v>
    <v>45992</v>
    <v>46119</v>
    <v>0</v>
    <v>1</v>
    <v>639111168000000000,639122869845531658,0</v>
    <v>11</v>
    <v>bubxlh</v>
    <v/>
    <v>19</v>
  </rv>
  <rv s="13">
    <v>36</v>
    <v>bqusoc</v>
    <v>Daily</v>
    <v>45992</v>
    <v>46119</v>
    <v>0</v>
    <v>1</v>
    <v>639111168000000000,639122869914030787,0</v>
    <v>11</v>
    <v>bqusoc</v>
    <v/>
    <v>20</v>
  </rv>
  <rv s="13">
    <v>37</v>
    <v>afsfrw</v>
    <v>Daily</v>
    <v>45992</v>
    <v>46119</v>
    <v>0</v>
    <v>1</v>
    <v>639111168000000000,639122869880402807,0</v>
    <v>2</v>
    <v>afsfrw</v>
    <v>XETR:IS04</v>
    <v>21</v>
  </rv>
  <rv s="13">
    <v>39</v>
    <v>ao6ha2</v>
    <v>Daily</v>
    <v>45992</v>
    <v>46119</v>
    <v>0</v>
    <v>1</v>
    <v>639111168000000000,639122870047516014,0</v>
    <v>22</v>
    <v>ao6ha2</v>
    <v>XLON:BHMG</v>
    <v>23</v>
  </rv>
  <rv s="13">
    <v>37</v>
    <v>cdd2z2</v>
    <v>Daily</v>
    <v>45992</v>
    <v>46119</v>
    <v>0</v>
    <v>1</v>
    <v>639111168000000000,639123548038829712,0</v>
    <v>2</v>
    <v>cdd2z2</v>
    <v>XETR:CEB1</v>
    <v>24</v>
  </rv>
  <rv s="13">
    <v>37</v>
    <v>c3jef2</v>
    <v>Daily</v>
    <v>45992</v>
    <v>46119</v>
    <v>0</v>
    <v>1</v>
    <v>639111168000000000,639122869947625896,0</v>
    <v>2</v>
    <v>c3jef2</v>
    <v>XETR:EN4C</v>
    <v>25</v>
  </rv>
  <rv s="13">
    <v>36</v>
    <v>auuja2</v>
    <v>Daily</v>
    <v>45992</v>
    <v>46119</v>
    <v>0</v>
    <v>1</v>
    <v>639111168000000000,639122869973036329,0</v>
    <v>11</v>
    <v>auuja2</v>
    <v/>
    <v>26</v>
  </rv>
  <rv s="13">
    <v>36</v>
    <v>ae2cc7</v>
    <v>Daily</v>
    <v>45992</v>
    <v>46119</v>
    <v>0</v>
    <v>1</v>
    <v>639111168000000000,639122869982766977,0</v>
    <v>27</v>
    <v>ae2cc7</v>
    <v/>
    <v>28</v>
  </rv>
  <rv s="13">
    <v>37</v>
    <v>cdkgim</v>
    <v>Daily</v>
    <v>45992</v>
    <v>46119</v>
    <v>0</v>
    <v>1</v>
    <v>639111168000000000,639123548026842311,0</v>
    <v>2</v>
    <v>cdkgim</v>
    <v>XETR:WEBN</v>
    <v>29</v>
  </rv>
  <rv s="13">
    <v>37</v>
    <v>bqssk2</v>
    <v>Daily</v>
    <v>45992</v>
    <v>46119</v>
    <v>0</v>
    <v>1</v>
    <v>639111168000000000,639122869989708037,0</v>
    <v>2</v>
    <v>bqssk2</v>
    <v>XETR:GLDA</v>
    <v>30</v>
  </rv>
  <rv s="13">
    <v>37</v>
    <v>c75s6h</v>
    <v>Daily</v>
    <v>45992</v>
    <v>46119</v>
    <v>0</v>
    <v>1</v>
    <v>639111168000000000,639122870002083935,0</v>
    <v>2</v>
    <v>c75s6h</v>
    <v>XETR:GZUR</v>
    <v>31</v>
  </rv>
  <rv s="13">
    <v>36</v>
    <v>cg66ur</v>
    <v>Daily</v>
    <v>45992</v>
    <v>46119</v>
    <v>0</v>
    <v>1</v>
    <v>639111168000000000,639123548034287381,0</v>
    <v>9</v>
    <v>cg66ur</v>
    <v/>
    <v>32</v>
  </rv>
  <rv s="13">
    <v>37</v>
    <v>bxpscw</v>
    <v>Daily</v>
    <v>45992</v>
    <v>46119</v>
    <v>0</v>
    <v>1</v>
    <v>639111168000000000,639122870034837051,0</v>
    <v>2</v>
    <v>bxpscw</v>
    <v>XETR:UBF6</v>
    <v>33</v>
  </rv>
  <rv s="13">
    <v>37</v>
    <v>afrph7</v>
    <v>Daily</v>
    <v>45992</v>
    <v>46119</v>
    <v>0</v>
    <v>1</v>
    <v>639111168000000000,639122869794344319,0</v>
    <v>2</v>
    <v>afrph7</v>
    <v>XETR:EUNL</v>
    <v>34</v>
  </rv>
  <rv s="13">
    <v>36</v>
    <v>auvthw</v>
    <v>Daily</v>
    <v>45992</v>
    <v>46119</v>
    <v>0</v>
    <v>1</v>
    <v>639111168000000000,639122869808212776,0</v>
    <v>9</v>
    <v>auvthw</v>
    <v/>
    <v>35</v>
  </rv>
  <rv s="13">
    <v>36</v>
    <v>autuim</v>
    <v>Daily</v>
    <v>45992</v>
    <v>46119</v>
    <v>0</v>
    <v>1</v>
    <v>639111168000000000,639122869851351108,0</v>
    <v>11</v>
    <v>autuim</v>
    <v/>
    <v>36</v>
  </rv>
  <rv s="13">
    <v>37</v>
    <v>afq8k2</v>
    <v>Daily</v>
    <v>45992</v>
    <v>46119</v>
    <v>0</v>
    <v>1</v>
    <v>639111168000000000,639122870011864710,0</v>
    <v>2</v>
    <v>afq8k2</v>
    <v>XETR:4GLD</v>
    <v>37</v>
  </rv>
  <rv s="13">
    <v>38</v>
    <v>azzdbh</v>
    <v>Daily</v>
    <v>45992</v>
    <v>46119</v>
    <v>0</v>
    <v>1</v>
    <v>639111168000000000,639122869885377050,0</v>
    <v>22</v>
    <v>azzdbh</v>
    <v>XLON:DTLA</v>
    <v>38</v>
  </rv>
  <rv s="13">
    <v>36</v>
    <v>auvesm</v>
    <v>Daily</v>
    <v>45992</v>
    <v>46119</v>
    <v>0</v>
    <v>1</v>
    <v>639111168000000000,639122869922394971,0</v>
    <v>11</v>
    <v>auvesm</v>
    <v/>
    <v>39</v>
  </rv>
  <rv s="13">
    <v>38</v>
    <v>a1qrgh</v>
    <v>Daily</v>
    <v>45992</v>
    <v>46119</v>
    <v>0</v>
    <v>1</v>
    <v>639111168000000000,639122869962283252,0</v>
    <v>14</v>
    <v>a1qrgh</v>
    <v>ARCX:DBC</v>
    <v>40</v>
  </rv>
  <rv s="13">
    <v>37</v>
    <v>afr627</v>
    <v>Daily</v>
    <v>45992</v>
    <v>46119</v>
    <v>0</v>
    <v>1</v>
    <v>639111168000000000,639122869907848170,0</v>
    <v>2</v>
    <v>afr627</v>
    <v>XETR:DBXG</v>
    <v>41</v>
  </rv>
  <rv s="13">
    <v>36</v>
    <v>bwrxmw</v>
    <v>Daily</v>
    <v>45992</v>
    <v>46119</v>
    <v>0</v>
    <v>1</v>
    <v>639111168000000000,639122869800628696,0</v>
    <v>11</v>
    <v>bwrxmw</v>
    <v/>
    <v>42</v>
  </rv>
  <rv s="13">
    <v>36</v>
    <v>autqa2</v>
    <v>Daily</v>
    <v>45992</v>
    <v>46119</v>
    <v>0</v>
    <v>1</v>
    <v>639111168000000000,639122869872529407,0</v>
    <v>9</v>
    <v>autqa2</v>
    <v/>
    <v>43</v>
  </rv>
  <rv s="13">
    <v>36</v>
    <v>auu2ar</v>
    <v>Daily</v>
    <v>45992</v>
    <v>46119</v>
    <v>0</v>
    <v>1</v>
    <v>639105120000000000,639122870031833766,0</v>
    <v>44</v>
    <v>auu2ar</v>
    <v/>
    <v>45</v>
  </rv>
  <rv s="13">
    <v>38</v>
    <v>a1zmf2</v>
    <v>Daily</v>
    <v>45992</v>
    <v>46119</v>
    <v>0</v>
    <v>1</v>
    <v>639111168000000000,639122869953211433,0</v>
    <v>14</v>
    <v>a1zmf2</v>
    <v>XNAS:PDBC</v>
    <v>46</v>
  </rv>
  <rv s="13">
    <v>36</v>
    <v>azzz1h</v>
    <v>Daily</v>
    <v>45992</v>
    <v>46119</v>
    <v>0</v>
    <v>1</v>
    <v>639111168000000000,639122869933380396,0</v>
    <v>9</v>
    <v>azzz1h</v>
    <v/>
    <v>47</v>
  </rv>
  <rv s="13">
    <v>37</v>
    <v>btivyc</v>
    <v>Daily</v>
    <v>45992</v>
    <v>46119</v>
    <v>0</v>
    <v>1</v>
    <v>639111168000000000,639122870039460001,0</v>
    <v>2</v>
    <v>btivyc</v>
    <v>XETR:UEQC</v>
    <v>48</v>
  </rv>
  <rv s="13">
    <v>36</v>
    <v>atz78m</v>
    <v>Daily</v>
    <v>45992</v>
    <v>46119</v>
    <v>0</v>
    <v>1</v>
    <v>639111168000000000,639122869941629647,0</v>
    <v>49</v>
    <v>atz78m</v>
    <v/>
    <v>50</v>
  </rv>
</rvData>
</file>

<file path=xl/richData/rdrichvaluestructure.xml><?xml version="1.0" encoding="utf-8"?>
<rvStructures xmlns="http://schemas.microsoft.com/office/spreadsheetml/2017/richdata" count="14">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Exchange" t="s"/>
    <k n="Exchange abbreviation" t="s"/>
    <k n="Expense ratio"/>
    <k n="High"/>
    <k n="Instrument type" t="s"/>
    <k n="Last trade time"/>
    <k n="Low"/>
    <k n="Market cap"/>
    <k n="Name" t="s"/>
    <k n="Open"/>
    <k n="Previous close"/>
    <k n="Price"/>
    <k n="Ticker symbol" t="s"/>
    <k n="UniqueName" t="s"/>
    <k n="Volume"/>
  </s>
  <s t="_linkedentity">
    <k n="%cvi" t="r"/>
  </s>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LearnMoreOnLink" t="r"/>
    <k n="Name" t="s"/>
    <k n="Net assets"/>
    <k n="Previous close"/>
    <k n="Price"/>
    <k n="Rating"/>
    <k n="Return (1m)"/>
    <k n="Return (1w)"/>
    <k n="Return (1y)"/>
    <k n="Return (3m)"/>
    <k n="Return (3y)"/>
    <k n="Return (5y)"/>
    <k n="Return (YTD)"/>
    <k n="UniqueName" t="s"/>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LearnMoreOnLink" t="r"/>
    <k n="Name" t="s"/>
    <k n="Previous close"/>
    <k n="Price"/>
    <k n="Rating"/>
    <k n="Return (1m)"/>
    <k n="Return (1w)"/>
    <k n="Return (1y)"/>
    <k n="Return (3m)"/>
    <k n="Return (3y)"/>
    <k n="Return (5y)"/>
    <k n="Return (YTD)"/>
    <k n="UniqueName"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Exchange" t="s"/>
    <k n="Exchange abbreviation" t="s"/>
    <k n="High"/>
    <k n="Instrument type" t="s"/>
    <k n="Last trade time"/>
    <k n="LearnMoreOnLink" t="r"/>
    <k n="Low"/>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Change"/>
    <k n="Change (%)"/>
    <k n="Country/region" t="s"/>
    <k n="Currency" t="s"/>
    <k n="Instrument type" t="s"/>
    <k n="Last trade time"/>
    <k n="Last update time"/>
    <k n="Name" t="s"/>
    <k n="Net assets"/>
    <k n="Previous close"/>
    <k n="Price"/>
    <k n="Rating"/>
    <k n="Return (1m)"/>
    <k n="Return (1w)"/>
    <k n="Return (1y)"/>
    <k n="Return (3m)"/>
    <k n="Return (3y)"/>
    <k n="Return (5y)"/>
    <k n="Return (YTD)"/>
    <k n="UniqueName"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formattednumber">
    <k n="_Format" t="spb"/>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Arrays count="10">
    <a count="31">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Instrument type</v>
      <v t="s">_Flags</v>
      <v t="s">UniqueName</v>
      <v t="s">_DisplayString</v>
      <v t="s">%ProviderInfo</v>
    </a>
    <a count="32">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Instrument type</v>
      <v t="s">_Flags</v>
      <v t="s">UniqueName</v>
      <v t="s">_DisplayString</v>
      <v t="s">LearnMoreOnLink</v>
      <v t="s">%ProviderInfo</v>
    </a>
    <a count="33">
      <v t="s">%EntityServiceId</v>
      <v t="s">_Format</v>
      <v t="s">%IsRefreshable</v>
      <v t="s">%EntityCulture</v>
      <v t="s">%EntityId</v>
      <v t="s">_Icon</v>
      <v t="s">_Display</v>
      <v t="s">Name</v>
      <v t="s">Price</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LearnMoreOnLink</v>
      <v t="s">%ProviderInfo</v>
    </a>
    <a count="32">
      <v t="s">%EntityServiceId</v>
      <v t="s">_Format</v>
      <v t="s">%IsRefreshable</v>
      <v t="s">%EntityCulture</v>
      <v t="s">%EntityId</v>
      <v t="s">_Icon</v>
      <v t="s">_Display</v>
      <v t="s">Name</v>
      <v t="s">Price</v>
      <v t="s">Country/region</v>
      <v t="s">_SubLabel</v>
      <v t="s">Change</v>
      <v t="s">Change (%)</v>
      <v t="s">Rating</v>
      <v t="s">Expense ratio</v>
      <v t="s">Previous close</v>
      <v t="s">Return (YTD)</v>
      <v t="s">Return (1w)</v>
      <v t="s">Return (1m)</v>
      <v t="s">Return (3m)</v>
      <v t="s">Return (1y)</v>
      <v t="s">Return (3y)</v>
      <v t="s">Return (5y)</v>
      <v t="s">_Flags</v>
      <v t="s">Last update time</v>
      <v t="s">Last trade time</v>
      <v t="s">Instrument type</v>
      <v t="s">Currency</v>
      <v t="s">UniqueName</v>
      <v t="s">_DisplayString</v>
      <v t="s">LearnMoreOnLink</v>
      <v t="s">%ProviderInfo</v>
    </a>
    <a count="36">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Market cap</v>
      <v t="s">Beta</v>
      <v t="s">Instrument type</v>
      <v t="s">_Flags</v>
      <v t="s">UniqueName</v>
      <v t="s">_DisplayString</v>
      <v t="s">LearnMoreOnLink</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30">
      <v t="s">%EntityServiceId</v>
      <v t="s">_Format</v>
      <v t="s">%IsRefreshable</v>
      <v t="s">%EntityCulture</v>
      <v t="s">%EntityId</v>
      <v t="s">_Icon</v>
      <v t="s">_Display</v>
      <v t="s">Name</v>
      <v t="s">_SubLabel</v>
      <v t="s">Price</v>
      <v t="s">Exchange</v>
      <v t="s">Last trade time</v>
      <v t="s">Ticker symbol</v>
      <v t="s">Exchange abbreviation</v>
      <v t="s">Change</v>
      <v t="s">Change (%)</v>
      <v t="s">Currency</v>
      <v t="s">Previous close</v>
      <v t="s">Open</v>
      <v t="s">High</v>
      <v t="s">Low</v>
      <v t="s">52 week high</v>
      <v t="s">52 week low</v>
      <v t="s">Volume</v>
      <v t="s">Instrument type</v>
      <v t="s">_Flags</v>
      <v t="s">UniqueName</v>
      <v t="s">_DisplayString</v>
      <v t="s">LearnMoreOnLink</v>
      <v t="s">%ProviderInfo</v>
    </a>
    <a count="31">
      <v t="s">%EntityServiceId</v>
      <v t="s">_Format</v>
      <v t="s">%IsRefreshable</v>
      <v t="s">%EntityCulture</v>
      <v t="s">%EntityId</v>
      <v t="s">_Icon</v>
      <v t="s">_Display</v>
      <v t="s">Name</v>
      <v t="s">Price</v>
      <v t="s">Country/region</v>
      <v t="s">_SubLabel</v>
      <v t="s">Change</v>
      <v t="s">Change (%)</v>
      <v t="s">Rating</v>
      <v t="s">Previous close</v>
      <v t="s">Return (YTD)</v>
      <v t="s">Return (1w)</v>
      <v t="s">Return (1m)</v>
      <v t="s">Return (3m)</v>
      <v t="s">Return (1y)</v>
      <v t="s">Return (3y)</v>
      <v t="s">Return (5y)</v>
      <v t="s">Net assets</v>
      <v t="s">_Flags</v>
      <v t="s">Last update time</v>
      <v t="s">Last trade time</v>
      <v t="s">Instrument type</v>
      <v t="s">Currency</v>
      <v t="s">UniqueName</v>
      <v t="s">_DisplayString</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40">
    <spb s="0">
      <v>0</v>
      <v>Name</v>
    </spb>
    <spb s="1">
      <v>0</v>
      <v>0</v>
      <v>0</v>
    </spb>
    <spb s="2">
      <v>1</v>
      <v>1</v>
    </spb>
    <spb s="3">
      <v>1</v>
      <v>1</v>
      <v>2</v>
      <v>1</v>
      <v>1</v>
      <v>1</v>
      <v>3</v>
      <v>4</v>
      <v>5</v>
      <v>1</v>
      <v>1</v>
      <v>4</v>
      <v>1</v>
      <v>6</v>
      <v>7</v>
    </spb>
    <spb s="4">
      <v>Delayed 15 minutes</v>
      <v>from previous close</v>
      <v>from previous close</v>
      <v>GMT</v>
    </spb>
    <spb s="5">
      <v>1</v>
      <v>Name</v>
      <v>LearnMoreOnLink</v>
    </spb>
    <spb s="6">
      <v>1</v>
      <v>1</v>
      <v>1</v>
    </spb>
    <spb s="5">
      <v>2</v>
      <v>Name</v>
      <v>LearnMoreOnLink</v>
    </spb>
    <spb s="7">
      <v>1</v>
      <v>1</v>
      <v>1</v>
      <v>1</v>
    </spb>
    <spb s="8">
      <v>2</v>
      <v>8</v>
      <v>8</v>
      <v>3</v>
      <v>4</v>
      <v>9</v>
      <v>4</v>
      <v>4</v>
      <v>4</v>
      <v>4</v>
      <v>4</v>
      <v>4</v>
      <v>4</v>
      <v>4</v>
      <v>8</v>
      <v>10</v>
      <v>6</v>
      <v>7</v>
    </spb>
    <spb s="9">
      <v>from previous close</v>
      <v>from previous close</v>
      <v>GMT</v>
      <v>GMT</v>
    </spb>
    <spb s="5">
      <v>3</v>
      <v>Name</v>
      <v>LearnMoreOnLink</v>
    </spb>
    <spb s="10">
      <v>2</v>
      <v>8</v>
      <v>8</v>
      <v>3</v>
      <v>4</v>
      <v>4</v>
      <v>4</v>
      <v>4</v>
      <v>4</v>
      <v>4</v>
      <v>4</v>
      <v>4</v>
      <v>4</v>
      <v>8</v>
      <v>10</v>
      <v>6</v>
      <v>7</v>
    </spb>
    <spb s="5">
      <v>4</v>
      <v>Name</v>
      <v>LearnMoreOnLink</v>
    </spb>
    <spb s="11">
      <v>11</v>
      <v>12</v>
      <v>11</v>
      <v>2</v>
      <v>11</v>
      <v>11</v>
      <v>11</v>
      <v>3</v>
      <v>4</v>
      <v>13</v>
      <v>11</v>
      <v>11</v>
      <v>4</v>
      <v>11</v>
      <v>6</v>
      <v>7</v>
      <v>11</v>
      <v>11</v>
      <v>4</v>
    </spb>
    <spb s="12">
      <v>at close</v>
      <v>from previous close</v>
      <v>LSE</v>
      <v>from previous close</v>
      <v>GMT</v>
      <v>Delayed 15 minutes</v>
      <v>from close</v>
      <v>from close</v>
    </spb>
    <spb s="5">
      <v>5</v>
      <v>Name</v>
      <v>LearnMoreOnLink</v>
    </spb>
    <spb s="13">
      <v>11</v>
      <v>12</v>
      <v>11</v>
      <v>2</v>
      <v>11</v>
      <v>11</v>
      <v>11</v>
      <v>3</v>
      <v>4</v>
      <v>13</v>
      <v>11</v>
      <v>11</v>
      <v>4</v>
      <v>11</v>
      <v>3</v>
      <v>6</v>
      <v>7</v>
      <v>11</v>
      <v>11</v>
      <v>4</v>
    </spb>
    <spb s="12">
      <v>at close</v>
      <v>from previous close</v>
      <v>Source: Nasdaq</v>
      <v>from previous close</v>
      <v>GMT</v>
      <v>Delayed 15 minutes</v>
      <v>from close</v>
      <v>from close</v>
    </spb>
    <spb s="5">
      <v>6</v>
      <v>Name</v>
      <v>LearnMoreOnLink</v>
    </spb>
    <spb s="14">
      <v>1</v>
      <v>12</v>
      <v>1</v>
      <v>2</v>
      <v>1</v>
      <v>1</v>
      <v>1</v>
      <v>3</v>
      <v>4</v>
      <v>5</v>
      <v>1</v>
      <v>1</v>
      <v>4</v>
      <v>1</v>
      <v>6</v>
      <v>7</v>
    </spb>
    <spb s="12">
      <v>at close</v>
      <v>from previous close</v>
      <v>Source: Nasdaq Last Sale</v>
      <v>from previous close</v>
      <v>GMT</v>
      <v>Real-Time Nasdaq Last Sale</v>
      <v>from close</v>
      <v>from close</v>
    </spb>
    <spb s="5">
      <v>7</v>
      <v>Name</v>
      <v>LearnMoreOnLink</v>
    </spb>
    <spb s="15">
      <v>1</v>
      <v>1</v>
      <v>2</v>
      <v>1</v>
      <v>1</v>
      <v>1</v>
      <v>3</v>
      <v>4</v>
      <v>1</v>
      <v>1</v>
      <v>1</v>
      <v>6</v>
      <v>7</v>
    </spb>
    <spb s="8">
      <v>2</v>
      <v>11</v>
      <v>11</v>
      <v>3</v>
      <v>4</v>
      <v>13</v>
      <v>4</v>
      <v>4</v>
      <v>4</v>
      <v>4</v>
      <v>4</v>
      <v>4</v>
      <v>4</v>
      <v>4</v>
      <v>11</v>
      <v>10</v>
      <v>6</v>
      <v>7</v>
    </spb>
    <spb s="0">
      <v>8</v>
      <v>Name</v>
    </spb>
    <spb s="16">
      <v>1</v>
      <v>1</v>
      <v>1</v>
    </spb>
    <spb s="17">
      <v>2</v>
      <v>8</v>
      <v>8</v>
      <v>3</v>
      <v>4</v>
      <v>9</v>
      <v>4</v>
      <v>4</v>
      <v>4</v>
      <v>4</v>
      <v>4</v>
      <v>4</v>
      <v>4</v>
      <v>8</v>
      <v>10</v>
      <v>6</v>
      <v>7</v>
    </spb>
    <spb s="5">
      <v>9</v>
      <v>Name</v>
      <v>LearnMoreOnLink</v>
    </spb>
    <spb s="18">
      <v>1</v>
      <v>1</v>
      <v>1</v>
      <v>1</v>
    </spb>
    <spb s="19">
      <v>14</v>
      <v>12</v>
      <v>12</v>
      <v>14</v>
      <v>2</v>
      <v>14</v>
      <v>14</v>
      <v>14</v>
      <v>3</v>
      <v>3</v>
      <v>4</v>
      <v>15</v>
      <v>14</v>
      <v>14</v>
      <v>14</v>
      <v>3</v>
      <v>6</v>
      <v>16</v>
      <v>7</v>
      <v>3</v>
      <v>14</v>
      <v>14</v>
      <v>4</v>
    </spb>
    <spb s="20">
      <v>at close</v>
      <v>from previous close</v>
      <v>from previous close</v>
      <v>LSE</v>
      <v>GMT</v>
      <v>Delayed 15 minutes</v>
      <v>from close</v>
      <v>from close</v>
    </spb>
    <spb s="21">
      <v>1</v>
    </spb>
    <spb s="21">
      <v>8</v>
    </spb>
    <spb s="21">
      <v>11</v>
    </spb>
    <spb s="21">
      <v>14</v>
    </spb>
    <spb s="22">
      <v>10</v>
      <v>8</v>
    </spb>
    <spb s="22">
      <v>10</v>
      <v>1</v>
    </spb>
    <spb s="22">
      <v>10</v>
      <v>11</v>
    </spb>
    <spb s="22">
      <v>10</v>
      <v>14</v>
    </spb>
  </spbData>
</supportingPropertyBags>
</file>

<file path=xl/richData/rdsupportingpropertybagstructure.xml><?xml version="1.0" encoding="utf-8"?>
<spbStructures xmlns="http://schemas.microsoft.com/office/spreadsheetml/2017/richdata2" count="23">
  <s>
    <k n="^Order" t="spba"/>
    <k n="TitleProperty" t="s"/>
  </s>
  <s>
    <k n="ShowInCardView" t="b"/>
    <k n="ShowInDotNotation" t="b"/>
    <k n="ShowInAutoComplete" t="b"/>
  </s>
  <s>
    <k n="UniqueName" t="spb"/>
    <k n="`%ProviderInfo" t="spb"/>
  </s>
  <s>
    <k n="Low" t="i"/>
    <k n="High" t="i"/>
    <k n="Name" t="i"/>
    <k n="Open" t="i"/>
    <k n="Price" t="i"/>
    <k n="Change" t="i"/>
    <k n="Volume" t="i"/>
    <k n="Change (%)" t="i"/>
    <k n="Market cap" t="i"/>
    <k n="52 week low" t="i"/>
    <k n="52 week high" t="i"/>
    <k n="Expense ratio" t="i"/>
    <k n="Previous close" t="i"/>
    <k n="Last trade time" t="i"/>
    <k n="`%EntityServiceId" t="i"/>
  </s>
  <s>
    <k n="Price" t="s"/>
    <k n="Change" t="s"/>
    <k n="Change (%)" t="s"/>
    <k n="Last trade time" t="s"/>
  </s>
  <s>
    <k n="^Order" t="spba"/>
    <k n="TitleProperty" t="s"/>
    <k n="SubTitleProperty" t="s"/>
  </s>
  <s>
    <k n="UniqueName" t="spb"/>
    <k n="`%ProviderInfo" t="spb"/>
    <k n="LearnMoreOnLink" t="spb"/>
  </s>
  <s>
    <k n="UniqueName" t="spb"/>
    <k n="`%ProviderInfo" t="spb"/>
    <k n="LearnMoreOnLink" t="spb"/>
    <k n="Last update time" t="spb"/>
  </s>
  <s>
    <k n="Name" t="i"/>
    <k n="Price" t="i"/>
    <k n="Change" t="i"/>
    <k n="Rating" t="i"/>
    <k n="Change (%)" t="i"/>
    <k n="Net assets" t="i"/>
    <k n="Return (1m)" t="i"/>
    <k n="Return (1w)" t="i"/>
    <k n="Return (1y)" t="i"/>
    <k n="Return (3m)" t="i"/>
    <k n="Return (3y)" t="i"/>
    <k n="Return (5y)" t="i"/>
    <k n="Return (YTD)" t="i"/>
    <k n="Expense ratio" t="i"/>
    <k n="Previous close" t="i"/>
    <k n="Last trade time" t="i"/>
    <k n="Last update time" t="i"/>
    <k n="`%EntityServiceId" t="i"/>
  </s>
  <s>
    <k n="Change" t="s"/>
    <k n="Change (%)" t="s"/>
    <k n="Last trade time" t="s"/>
    <k n="Last update time" t="s"/>
  </s>
  <s>
    <k n="Name" t="i"/>
    <k n="Price" t="i"/>
    <k n="Change" t="i"/>
    <k n="Rating" t="i"/>
    <k n="Change (%)" t="i"/>
    <k n="Return (1m)" t="i"/>
    <k n="Return (1w)" t="i"/>
    <k n="Return (1y)" t="i"/>
    <k n="Return (3m)" t="i"/>
    <k n="Return (3y)" t="i"/>
    <k n="Return (5y)" t="i"/>
    <k n="Return (YTD)" t="i"/>
    <k n="Expense ratio" t="i"/>
    <k n="Previous close" t="i"/>
    <k n="Last trade time" t="i"/>
    <k n="Last update time" t="i"/>
    <k n="`%EntityServiceId" t="i"/>
  </s>
  <s>
    <k n="Low" t="i"/>
    <k n="Beta" t="i"/>
    <k n="High" t="i"/>
    <k n="Name" t="i"/>
    <k n="Open" t="i"/>
    <k n="Price" t="i"/>
    <k n="Change" t="i"/>
    <k n="Volume" t="i"/>
    <k n="Change (%)" t="i"/>
    <k n="Market cap" t="i"/>
    <k n="52 week low" t="i"/>
    <k n="52 week high" t="i"/>
    <k n="Expense ratio" t="i"/>
    <k n="Previous clos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Low" t="i"/>
    <k n="Beta" t="i"/>
    <k n="High" t="i"/>
    <k n="Name" t="i"/>
    <k n="Open" t="i"/>
    <k n="Price" t="i"/>
    <k n="Change" t="i"/>
    <k n="Volume" t="i"/>
    <k n="Change (%)" t="i"/>
    <k n="Market cap" t="i"/>
    <k n="52 week low" t="i"/>
    <k n="52 week high" t="i"/>
    <k n="Expense ratio" t="i"/>
    <k n="Previous close" t="i"/>
    <k n="Last trade time" t="i"/>
    <k n="`%EntityServiceId" t="i"/>
  </s>
  <s>
    <k n="Low" t="i"/>
    <k n="High" t="i"/>
    <k n="Name" t="i"/>
    <k n="Open" t="i"/>
    <k n="Price" t="i"/>
    <k n="Change" t="i"/>
    <k n="Volume" t="i"/>
    <k n="Change (%)" t="i"/>
    <k n="52 week low" t="i"/>
    <k n="52 week high" t="i"/>
    <k n="Previous close" t="i"/>
    <k n="Last trade time" t="i"/>
    <k n="`%EntityServiceId" t="i"/>
  </s>
  <s>
    <k n="UniqueName" t="spb"/>
    <k n="`%ProviderInfo" t="spb"/>
    <k n="Last update time" t="spb"/>
  </s>
  <s>
    <k n="Name" t="i"/>
    <k n="Price" t="i"/>
    <k n="Change" t="i"/>
    <k n="Rating" t="i"/>
    <k n="Change (%)" t="i"/>
    <k n="Net assets" t="i"/>
    <k n="Return (1m)" t="i"/>
    <k n="Return (1w)" t="i"/>
    <k n="Return (1y)" t="i"/>
    <k n="Return (3m)" t="i"/>
    <k n="Return (3y)" t="i"/>
    <k n="Return (5y)" t="i"/>
    <k n="Return (YTD)" t="i"/>
    <k n="Previous close" t="i"/>
    <k n="Last trade time" t="i"/>
    <k n="Last update time" t="i"/>
    <k n="`%EntityServiceId" t="i"/>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_Self"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yyyy/mm/dd\ hh:mm"/>
    </x:dxf>
    <x:dxf>
      <x:numFmt numFmtId="14" formatCode="0.00%"/>
    </x:dxf>
    <x:dxf>
      <x:numFmt numFmtId="3" formatCode="#,##0"/>
    </x:dxf>
    <x:dxf>
      <x:numFmt numFmtId="4" formatCode="#,##0.00"/>
    </x:dxf>
    <x:dxf>
      <x:numFmt numFmtId="1" formatCode="0"/>
    </x:dxf>
    <x:dxf>
      <x:numFmt numFmtId="19" formatCode="yyyy/mm/dd"/>
    </x:dxf>
    <x:dxf>
      <x:numFmt numFmtId="35" formatCode="_-* #,##0.00_-;\-* #,##0.00_-;_-* &quot;-&quot;??_-;_-@_-"/>
    </x:dxf>
  </dxfs>
  <richProperties>
    <rPr n="NumberFormat" t="s"/>
    <rPr n="IsTitleField" t="b"/>
  </richProperties>
  <richStyles>
    <rSty dxfid="1">
      <rpv i="0">_([$€-x-euro2] * #,##0.00_);_([$€-x-euro2] * (#,##0.00);_([$€-x-euro2] * "-"??_);_(@_)</rpv>
    </rSty>
    <rSty>
      <rpv i="1">1</rpv>
    </rSty>
    <rSty dxfid="4">
      <rpv i="0">#,##0</rpv>
    </rSty>
    <rSty dxfid="3"/>
    <rSty dxfid="1">
      <rpv i="0">_([$€-x-euro2] * #,##0_);_([$€-x-euro2] * (#,##0);_([$€-x-euro2] * "-"_);_(@_)</rpv>
    </rSty>
    <rSty dxfid="2"/>
    <rSty dxfid="0">
      <rpv i="0">0.00</rpv>
    </rSty>
    <rSty dxfid="1">
      <rpv i="0">_-* #,##0.00 [$kr-en-SE]_-;-* #,##0.00 [$kr-en-SE]_-;_-* "-"?? [$kr-en-SE]_-;_-@_-</rpv>
    </rSty>
    <rSty dxfid="1">
      <rpv i="0">_-* #,##0 [$kr-en-SE]_-;-* #,##0 [$kr-en-SE]_-;_-* "-" [$kr-en-SE]_-;_-@_-</rpv>
    </rSty>
    <rSty dxfid="7"/>
    <rSty dxfid="1">
      <rpv i="0">_([$$-en-US]* #,##0.00_);_([$$-en-US]* (#,##0.00);_([$$-en-US]* "-"??_);_(@_)</rpv>
    </rSty>
    <rSty dxfid="5">
      <rpv i="0">#,##0.00</rpv>
    </rSty>
    <rSty dxfid="1">
      <rpv i="0">_([$$-en-US]* #,##0_);_([$$-en-US]* (#,##0);_([$$-en-US]* "-"_);_(@_)</rpv>
    </rSty>
    <rSty dxfid="8">
      <rpv i="0">_(* #,##0.00_);_(* (#,##0.00);_(* "-"??_);_(@_)</rpv>
    </rSty>
    <rSty dxfid="1">
      <rpv i="0">_-[$£-en-GB]* #,##0_-;-[$£-en-GB]* #,##0_-;_-[$£-en-GB]* "-"_-;_-@_-</rpv>
    </rSty>
    <rSty dxfid="6">
      <rpv i="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AA36FCE-FBE6-4F02-908A-564426E16CB7}" name="AssetsTable" displayName="AssetsTable" ref="A1:M57" totalsRowShown="0" headerRowDxfId="8">
  <autoFilter ref="A1:M57" xr:uid="{8AA36FCE-FBE6-4F02-908A-564426E16CB7}"/>
  <tableColumns count="13">
    <tableColumn id="1" xr3:uid="{8EBC745C-6038-49E7-B794-9BC5C7D93E65}" name="Asset"/>
    <tableColumn id="2" xr3:uid="{66E002BA-EBE6-4F22-ABE0-66F7D9B7F230}" name="ID"/>
    <tableColumn id="3" xr3:uid="{40291239-27E2-4982-9138-F917B568233D}" name="Currency">
      <calculatedColumnFormula array="1">_FV(A2,"Currency")</calculatedColumnFormula>
    </tableColumn>
    <tableColumn id="9" xr3:uid="{C1CC181E-8CD0-495A-9BD2-7611B5EE40C0}" name="Acc/Dist"/>
    <tableColumn id="4" xr3:uid="{05ADEEC0-9EC1-4E17-8915-56B27F6AD458}" name="Expense" dataDxfId="7">
      <calculatedColumnFormula array="1">_FV(A2,"Expense ratio",TRUE)</calculatedColumnFormula>
    </tableColumn>
    <tableColumn id="12" xr3:uid="{99CB891B-5350-40DC-B16C-81F1A7E546BB}" name="StdDev" dataDxfId="6"/>
    <tableColumn id="5" xr3:uid="{0B94F379-6280-4768-BD88-D620BB1D063B}" name="Inception"/>
    <tableColumn id="13" xr3:uid="{5B9543AC-3CCF-46A8-A55F-653CCF7373AC}" name="DataStart" dataDxfId="5">
      <calculatedColumnFormula array="1">INDEX(#REF!, MATCH(TRUE, INDEX(#REF!, 0, MATCH(AssetsTable[[#This Row],[ID]],#REF!, 0)) &lt;&gt; "", 0) + 1)</calculatedColumnFormula>
    </tableColumn>
    <tableColumn id="15" xr3:uid="{81FBDF59-5B6B-4BA3-B8F0-E2179F461DA1}" name="MissDays" dataDxfId="4">
      <calculatedColumnFormula>AssetsTable[[#This Row],[DataStart]]-AssetsTable[[#This Row],[Inception]]</calculatedColumnFormula>
    </tableColumn>
    <tableColumn id="7" xr3:uid="{7AA9FD99-09E7-4EB3-AEFC-D8C7EA26DE08}" name="ISIN" dataDxfId="3"/>
    <tableColumn id="6" xr3:uid="{58C452B4-F675-4DEE-83C3-FFFC13414032}" name="Name" dataDxfId="2">
      <calculatedColumnFormula array="1">_FV(AssetsTable[[#This Row],[Asset]],"Name")</calculatedColumnFormula>
    </tableColumn>
    <tableColumn id="8" xr3:uid="{A5ACC7E6-04E0-4BD1-AC40-8BFA6B0D0F16}" name="Proxy" dataDxfId="1"/>
    <tableColumn id="10" xr3:uid="{3C0FA61E-D55C-4DAF-8504-01E393E6E63A}" name="Index"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D4276-3D9D-4E3A-89B5-BC7384A7ED5E}">
  <dimension ref="A1:B9"/>
  <sheetViews>
    <sheetView zoomScale="175" zoomScaleNormal="175" workbookViewId="0">
      <selection activeCell="B9" sqref="B9"/>
    </sheetView>
  </sheetViews>
  <sheetFormatPr defaultRowHeight="14.6" x14ac:dyDescent="0.4"/>
  <cols>
    <col min="2" max="2" width="10.07421875" bestFit="1" customWidth="1"/>
  </cols>
  <sheetData>
    <row r="1" spans="1:2" x14ac:dyDescent="0.4">
      <c r="A1" t="s">
        <v>7</v>
      </c>
    </row>
    <row r="2" spans="1:2" x14ac:dyDescent="0.4">
      <c r="A2" t="s">
        <v>65</v>
      </c>
    </row>
    <row r="3" spans="1:2" x14ac:dyDescent="0.4">
      <c r="A3" t="s">
        <v>8</v>
      </c>
    </row>
    <row r="4" spans="1:2" x14ac:dyDescent="0.4">
      <c r="A4" t="s">
        <v>9</v>
      </c>
    </row>
    <row r="5" spans="1:2" x14ac:dyDescent="0.4">
      <c r="A5" t="s">
        <v>10</v>
      </c>
    </row>
    <row r="6" spans="1:2" x14ac:dyDescent="0.4">
      <c r="A6" t="s">
        <v>66</v>
      </c>
    </row>
    <row r="8" spans="1:2" x14ac:dyDescent="0.4">
      <c r="A8" s="2" t="s">
        <v>11</v>
      </c>
      <c r="B8" s="1">
        <v>45992</v>
      </c>
    </row>
    <row r="9" spans="1:2" x14ac:dyDescent="0.4">
      <c r="A9" s="2" t="s">
        <v>12</v>
      </c>
      <c r="B9" s="1">
        <v>46119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7FF15-7C1D-4B34-AF1A-C1D566B1D838}">
  <dimension ref="A1:M57"/>
  <sheetViews>
    <sheetView zoomScale="130" zoomScaleNormal="130" workbookViewId="0">
      <selection activeCell="E57" sqref="E57"/>
    </sheetView>
  </sheetViews>
  <sheetFormatPr defaultRowHeight="14.6" x14ac:dyDescent="0.4"/>
  <cols>
    <col min="1" max="1" width="45.23046875" bestFit="1" customWidth="1"/>
    <col min="2" max="2" width="9.4609375" bestFit="1" customWidth="1"/>
    <col min="3" max="3" width="10.765625" bestFit="1" customWidth="1"/>
    <col min="4" max="4" width="10.765625" customWidth="1"/>
    <col min="5" max="5" width="10.07421875" bestFit="1" customWidth="1"/>
    <col min="6" max="6" width="10.07421875" customWidth="1"/>
    <col min="7" max="7" width="11" bestFit="1" customWidth="1"/>
    <col min="8" max="8" width="10.921875" bestFit="1" customWidth="1"/>
    <col min="9" max="9" width="11" style="1" bestFit="1" customWidth="1"/>
    <col min="10" max="10" width="13.921875" style="1" bestFit="1" customWidth="1"/>
    <col min="11" max="11" width="38.3046875" style="6" bestFit="1" customWidth="1"/>
    <col min="12" max="12" width="11.921875" bestFit="1" customWidth="1"/>
    <col min="13" max="13" width="48.84375" bestFit="1" customWidth="1"/>
  </cols>
  <sheetData>
    <row r="1" spans="1:13" x14ac:dyDescent="0.4">
      <c r="A1" s="2" t="s">
        <v>3</v>
      </c>
      <c r="B1" s="2" t="s">
        <v>2</v>
      </c>
      <c r="C1" s="2" t="s">
        <v>0</v>
      </c>
      <c r="D1" s="2" t="s">
        <v>60</v>
      </c>
      <c r="E1" s="2" t="s">
        <v>1</v>
      </c>
      <c r="F1" s="2" t="s">
        <v>82</v>
      </c>
      <c r="G1" s="2" t="s">
        <v>4</v>
      </c>
      <c r="H1" s="4" t="s">
        <v>5</v>
      </c>
      <c r="I1" s="5" t="s">
        <v>6</v>
      </c>
      <c r="J1" s="5" t="s">
        <v>15</v>
      </c>
      <c r="K1" s="2" t="s">
        <v>13</v>
      </c>
      <c r="L1" s="2" t="s">
        <v>46</v>
      </c>
      <c r="M1" s="2" t="s">
        <v>80</v>
      </c>
    </row>
    <row r="2" spans="1:13" x14ac:dyDescent="0.4">
      <c r="A2" s="2" t="s">
        <v>52</v>
      </c>
      <c r="E2" s="3"/>
      <c r="F2" s="3"/>
      <c r="G2" s="1"/>
      <c r="H2" s="1"/>
      <c r="I2" s="6"/>
      <c r="J2" s="6"/>
      <c r="L2" s="6"/>
      <c r="M2" s="6"/>
    </row>
    <row r="3" spans="1:13" x14ac:dyDescent="0.4">
      <c r="A3" t="e" vm="1">
        <v>#VALUE!</v>
      </c>
      <c r="B3" t="str" cm="1">
        <f t="array" aca="1" ref="B3" ca="1">_FV(AssetsTable[[#This Row],[Asset]],"Ticker symbol",TRUE)</f>
        <v>WEBN</v>
      </c>
      <c r="C3" t="str" cm="1">
        <f t="array" aca="1" ref="C3" ca="1">_FV(A3,"Currency")</f>
        <v>EUR</v>
      </c>
      <c r="D3" t="s">
        <v>61</v>
      </c>
      <c r="E3" s="3" cm="1">
        <f t="array" aca="1" ref="E3" ca="1">_FV(A3,"Expense ratio",TRUE)</f>
        <v>7.000000000000001E-4</v>
      </c>
      <c r="F3" s="3">
        <v>0.15</v>
      </c>
      <c r="G3" s="1">
        <v>45448</v>
      </c>
      <c r="H3" s="1" cm="1">
        <f t="array" aca="1" ref="H3" ca="1">INDEX(Prices!A:A, MATCH(TRUE, INDEX(Prices!$2:$1048576, 0, MATCH(AssetsTable[[#This Row],[ID]], Prices!$1:$1, 0)) &lt;&gt; "", 0) + 1)</f>
        <v>45992</v>
      </c>
      <c r="I3" s="6">
        <f ca="1">AssetsTable[[#This Row],[DataStart]]-AssetsTable[[#This Row],[Inception]]</f>
        <v>544</v>
      </c>
      <c r="J3" s="6" t="s">
        <v>42</v>
      </c>
      <c r="K3" s="6" t="str" cm="1">
        <f t="array" aca="1" ref="K3" ca="1">_FV(AssetsTable[[#This Row],[Asset]],"Name")</f>
        <v>AmPrimeAllCntryWldUCITSETFUSDA</v>
      </c>
      <c r="L3" t="s">
        <v>14</v>
      </c>
      <c r="M3" s="6"/>
    </row>
    <row r="4" spans="1:13" x14ac:dyDescent="0.4">
      <c r="A4" t="e" vm="2">
        <v>#VALUE!</v>
      </c>
      <c r="B4" t="s">
        <v>14</v>
      </c>
      <c r="C4" t="str" cm="1">
        <f t="array" aca="1" ref="C4" ca="1">_FV(A4,"Currency")</f>
        <v>EUR</v>
      </c>
      <c r="D4" t="s">
        <v>61</v>
      </c>
      <c r="E4" s="3" cm="1">
        <f t="array" aca="1" ref="E4" ca="1">_FV(A4,"Expense ratio",TRUE)</f>
        <v>2E-3</v>
      </c>
      <c r="F4" s="3">
        <v>0.15</v>
      </c>
      <c r="G4" s="1">
        <v>40081</v>
      </c>
      <c r="H4" s="1" cm="1">
        <f t="array" aca="1" ref="H4" ca="1">INDEX(Prices!A:A, MATCH(TRUE, INDEX(Prices!$2:$1048576, 0, MATCH(AssetsTable[[#This Row],[ID]], Prices!$1:$1, 0)) &lt;&gt; "", 0) + 1)</f>
        <v>45992</v>
      </c>
      <c r="I4" s="6">
        <f ca="1">AssetsTable[[#This Row],[DataStart]]-AssetsTable[[#This Row],[Inception]]</f>
        <v>5911</v>
      </c>
      <c r="J4" s="6" t="s">
        <v>39</v>
      </c>
      <c r="K4" s="6" t="str" cm="1">
        <f t="array" aca="1" ref="K4" ca="1">_FV(AssetsTable[[#This Row],[Asset]],"Name")</f>
        <v>iShs CoreMSCI Wld ETF USD A</v>
      </c>
      <c r="L4" s="6"/>
      <c r="M4" s="6"/>
    </row>
    <row r="5" spans="1:13" x14ac:dyDescent="0.4">
      <c r="A5" s="2" t="s">
        <v>50</v>
      </c>
      <c r="E5" s="3"/>
      <c r="F5" s="3"/>
      <c r="G5" s="1"/>
      <c r="H5" s="1"/>
      <c r="I5" s="6"/>
      <c r="J5" s="6"/>
      <c r="K5"/>
      <c r="L5" s="6"/>
      <c r="M5" s="6"/>
    </row>
    <row r="6" spans="1:13" x14ac:dyDescent="0.4">
      <c r="A6" t="e" vm="3">
        <v>#VALUE!</v>
      </c>
      <c r="B6" t="s">
        <v>100</v>
      </c>
      <c r="C6" t="str" cm="1">
        <f t="array" aca="1" ref="C6" ca="1">_FV(A6,"Currency")</f>
        <v>SEK</v>
      </c>
      <c r="D6" t="s">
        <v>61</v>
      </c>
      <c r="E6" s="3" cm="1">
        <f t="array" aca="1" ref="E6" ca="1">_FV(A6,"Expense ratio",TRUE)</f>
        <v>2E-3</v>
      </c>
      <c r="F6" s="3">
        <v>0.17</v>
      </c>
      <c r="G6" s="1">
        <v>44130</v>
      </c>
      <c r="H6" s="1" cm="1">
        <f t="array" aca="1" ref="H6" ca="1">INDEX(Prices!A:A, MATCH(TRUE, INDEX(Prices!$2:$1048576, 0, MATCH(AssetsTable[[#This Row],[ID]], Prices!$1:$1, 0)) &lt;&gt; "", 0) + 1)</f>
        <v>45992</v>
      </c>
      <c r="I6" s="6">
        <f ca="1">AssetsTable[[#This Row],[DataStart]]-AssetsTable[[#This Row],[Inception]]</f>
        <v>1862</v>
      </c>
      <c r="J6" s="6" t="s">
        <v>43</v>
      </c>
      <c r="K6" s="6" t="str" cm="1">
        <f t="array" aca="1" ref="K6" ca="1">_FV(AssetsTable[[#This Row],[Asset]],"Name")</f>
        <v>PLUS Allabolag Sverige Index</v>
      </c>
      <c r="L6" s="6" t="s">
        <v>90</v>
      </c>
      <c r="M6" s="6" t="s">
        <v>91</v>
      </c>
    </row>
    <row r="7" spans="1:13" x14ac:dyDescent="0.4">
      <c r="A7" t="e" vm="4">
        <v>#VALUE!</v>
      </c>
      <c r="B7" t="s">
        <v>101</v>
      </c>
      <c r="C7" t="str" cm="1">
        <f t="array" aca="1" ref="C7" ca="1">_FV(A7,"Currency")</f>
        <v>SEK</v>
      </c>
      <c r="D7" t="s">
        <v>61</v>
      </c>
      <c r="E7" s="3" cm="1">
        <f t="array" aca="1" ref="E7" ca="1">_FV(A7,"Expense ratio",TRUE)</f>
        <v>2.0999999999999999E-3</v>
      </c>
      <c r="F7" s="3">
        <v>0.17</v>
      </c>
      <c r="G7" s="1">
        <v>36152</v>
      </c>
      <c r="H7" s="1" cm="1">
        <f t="array" aca="1" ref="H7" ca="1">INDEX(Prices!A:A, MATCH(TRUE, INDEX(Prices!$2:$1048576, 0, MATCH(AssetsTable[[#This Row],[ID]], Prices!$1:$1, 0)) &lt;&gt; "", 0) + 1)</f>
        <v>45992</v>
      </c>
      <c r="I7" s="6">
        <f ca="1">AssetsTable[[#This Row],[DataStart]]-AssetsTable[[#This Row],[Inception]]</f>
        <v>9840</v>
      </c>
      <c r="J7" s="7" t="s">
        <v>37</v>
      </c>
      <c r="K7" s="6" t="str" cm="1">
        <f t="array" aca="1" ref="K7" ca="1">_FV(AssetsTable[[#This Row],[Asset]],"Name")</f>
        <v>Storebrand Sverige A SEK</v>
      </c>
      <c r="L7" s="6"/>
      <c r="M7" s="6"/>
    </row>
    <row r="8" spans="1:13" x14ac:dyDescent="0.4">
      <c r="A8" s="2" t="s">
        <v>48</v>
      </c>
      <c r="E8" s="3"/>
      <c r="F8" s="3"/>
      <c r="G8" s="1"/>
      <c r="H8" s="1"/>
      <c r="I8" s="6"/>
      <c r="J8" s="6"/>
      <c r="L8" s="6"/>
      <c r="M8" s="6"/>
    </row>
    <row r="9" spans="1:13" x14ac:dyDescent="0.4">
      <c r="A9" t="e" vm="5">
        <v>#VALUE!</v>
      </c>
      <c r="B9" t="str" cm="1">
        <f t="array" aca="1" ref="B9" ca="1">_FV(AssetsTable[[#This Row],[Asset]],"Ticker symbol",TRUE)</f>
        <v>AVWS</v>
      </c>
      <c r="C9" t="str" cm="1">
        <f t="array" aca="1" ref="C9" ca="1">_FV(A9,"Currency")</f>
        <v>EUR</v>
      </c>
      <c r="D9" t="s">
        <v>61</v>
      </c>
      <c r="E9" s="3" cm="1">
        <f t="array" aca="1" ref="E9" ca="1">_FV(A9,"Expense ratio",TRUE)</f>
        <v>3.9000000000000003E-3</v>
      </c>
      <c r="F9" s="3">
        <v>0.17499999999999999</v>
      </c>
      <c r="G9" s="1">
        <v>45560</v>
      </c>
      <c r="H9" s="1" cm="1">
        <f t="array" aca="1" ref="H9" ca="1">INDEX(Prices!A:A, MATCH(TRUE, INDEX(Prices!$2:$1048576, 0, MATCH(AssetsTable[[#This Row],[ID]], Prices!$1:$1, 0)) &lt;&gt; "", 0) + 1)</f>
        <v>45992</v>
      </c>
      <c r="I9" s="6">
        <f ca="1">AssetsTable[[#This Row],[DataStart]]-AssetsTable[[#This Row],[Inception]]</f>
        <v>432</v>
      </c>
      <c r="J9" s="6" t="s">
        <v>38</v>
      </c>
      <c r="K9" t="str" cm="1">
        <f t="array" aca="1" ref="K9" ca="1">_FV(AssetsTable[[#This Row],[Asset]],"Name")</f>
        <v>Avantis Gl SmCp Val UETF USDA</v>
      </c>
      <c r="L9" s="6" t="s">
        <v>102</v>
      </c>
      <c r="M9" s="6"/>
    </row>
    <row r="10" spans="1:13" x14ac:dyDescent="0.4">
      <c r="A10" t="e" vm="6">
        <v>#VALUE!</v>
      </c>
      <c r="B10" t="s">
        <v>103</v>
      </c>
      <c r="C10" t="str" cm="1">
        <f t="array" aca="1" ref="C10" ca="1">_FV(A10,"Currency")</f>
        <v>SEK</v>
      </c>
      <c r="D10" t="s">
        <v>61</v>
      </c>
      <c r="E10" s="3" cm="1">
        <f t="array" aca="1" ref="E10" ca="1">_FV(A10,"Expense ratio",TRUE)</f>
        <v>3.0999999999999999E-3</v>
      </c>
      <c r="F10" s="3">
        <v>0.15</v>
      </c>
      <c r="G10" s="1">
        <v>42646</v>
      </c>
      <c r="H10" s="1" cm="1">
        <f t="array" aca="1" ref="H10" ca="1">INDEX(Prices!A:A, MATCH(TRUE, INDEX(Prices!$2:$1048576, 0, MATCH(AssetsTable[[#This Row],[ID]], Prices!$1:$1, 0)) &lt;&gt; "", 0) + 1)</f>
        <v>45992</v>
      </c>
      <c r="I10" s="6">
        <f ca="1">AssetsTable[[#This Row],[DataStart]]-AssetsTable[[#This Row],[Inception]]</f>
        <v>3346</v>
      </c>
      <c r="J10" s="6" t="s">
        <v>17</v>
      </c>
      <c r="K10" t="str" cm="1">
        <f t="array" aca="1" ref="K10" ca="1">_FV(AssetsTable[[#This Row],[Asset]],"Name")</f>
        <v>Aktiespararna Direktavkastning A</v>
      </c>
      <c r="L10" s="6" t="s">
        <v>96</v>
      </c>
      <c r="M10" s="6" t="s">
        <v>97</v>
      </c>
    </row>
    <row r="11" spans="1:13" x14ac:dyDescent="0.4">
      <c r="A11" t="e" vm="7">
        <v>#VALUE!</v>
      </c>
      <c r="B11" t="s">
        <v>102</v>
      </c>
      <c r="C11" t="str" cm="1">
        <f t="array" aca="1" ref="C11" ca="1">_FV(A11,"Currency")</f>
        <v>SEK</v>
      </c>
      <c r="D11" t="s">
        <v>61</v>
      </c>
      <c r="E11" s="3" cm="1">
        <f t="array" aca="1" ref="E11" ca="1">_FV(A11,"Expense ratio",TRUE)</f>
        <v>1.4999999999999999E-2</v>
      </c>
      <c r="F11" s="3">
        <v>0.17499999999999999</v>
      </c>
      <c r="G11" s="1">
        <v>39031</v>
      </c>
      <c r="H11" s="1" cm="1">
        <f t="array" aca="1" ref="H11" ca="1">INDEX(Prices!A:A, MATCH(TRUE, INDEX(Prices!$2:$1048576, 0, MATCH(AssetsTable[[#This Row],[ID]], Prices!$1:$1, 0)) &lt;&gt; "", 0) + 1)</f>
        <v>45992</v>
      </c>
      <c r="I11" s="6">
        <f ca="1">AssetsTable[[#This Row],[DataStart]]-AssetsTable[[#This Row],[Inception]]</f>
        <v>6961</v>
      </c>
      <c r="J11" s="6" t="s">
        <v>18</v>
      </c>
      <c r="K11" t="str" cm="1">
        <f t="array" aca="1" ref="K11" ca="1">_FV(AssetsTable[[#This Row],[Asset]],"Name")</f>
        <v>SEB Swedish Value Fund A</v>
      </c>
      <c r="L11" s="6"/>
      <c r="M11" s="6"/>
    </row>
    <row r="12" spans="1:13" x14ac:dyDescent="0.4">
      <c r="A12" s="2" t="s">
        <v>49</v>
      </c>
      <c r="E12" s="3"/>
      <c r="F12" s="3"/>
      <c r="G12" s="1"/>
      <c r="H12" s="1"/>
      <c r="I12" s="6"/>
      <c r="J12" s="7"/>
      <c r="L12" s="6"/>
      <c r="M12" s="6"/>
    </row>
    <row r="13" spans="1:13" x14ac:dyDescent="0.4">
      <c r="A13" t="e" vm="8">
        <v>#VALUE!</v>
      </c>
      <c r="B13" t="str" cm="1">
        <f t="array" aca="1" ref="B13" ca="1">_FV(AssetsTable[[#This Row],[Asset]],"Ticker symbol",TRUE)</f>
        <v>XDEM</v>
      </c>
      <c r="C13" t="str" cm="1">
        <f t="array" aca="1" ref="C13" ca="1">_FV(A13,"Currency")</f>
        <v>EUR</v>
      </c>
      <c r="D13" t="s">
        <v>61</v>
      </c>
      <c r="E13" s="3" cm="1">
        <f t="array" aca="1" ref="E13" ca="1">_FV(A13,"Expense ratio",TRUE)</f>
        <v>2.5000000000000001E-3</v>
      </c>
      <c r="F13" s="3">
        <v>0.17499999999999999</v>
      </c>
      <c r="G13" s="1">
        <v>41887</v>
      </c>
      <c r="H13" s="1" cm="1">
        <f t="array" aca="1" ref="H13" ca="1">INDEX(Prices!A:A, MATCH(TRUE, INDEX(Prices!$2:$1048576, 0, MATCH(AssetsTable[[#This Row],[ID]], Prices!$1:$1, 0)) &lt;&gt; "", 0) + 1)</f>
        <v>45992</v>
      </c>
      <c r="I13" s="6">
        <f ca="1">AssetsTable[[#This Row],[DataStart]]-AssetsTable[[#This Row],[Inception]]</f>
        <v>4105</v>
      </c>
      <c r="J13" s="6" t="s">
        <v>20</v>
      </c>
      <c r="K13" t="str" cm="1">
        <f t="array" aca="1" ref="K13" ca="1">_FV(AssetsTable[[#This Row],[Asset]],"Name")</f>
        <v>X MSCI Wld Mmntm UCITS ETF 1C</v>
      </c>
      <c r="L13" s="6" t="s">
        <v>92</v>
      </c>
      <c r="M13" s="6" t="s">
        <v>93</v>
      </c>
    </row>
    <row r="14" spans="1:13" x14ac:dyDescent="0.4">
      <c r="A14" t="e" vm="9">
        <v>#VALUE!</v>
      </c>
      <c r="B14" t="s">
        <v>105</v>
      </c>
      <c r="C14" t="str" cm="1">
        <f t="array" aca="1" ref="C14" ca="1">_FV(A14,"Currency")</f>
        <v>SEK</v>
      </c>
      <c r="D14" t="s">
        <v>61</v>
      </c>
      <c r="E14" s="3" cm="1">
        <f t="array" aca="1" ref="E14" ca="1">_FV(A14,"Expense ratio",TRUE)</f>
        <v>3.2000000000000002E-3</v>
      </c>
      <c r="F14" s="3">
        <v>0.17499999999999999</v>
      </c>
      <c r="G14" s="1">
        <v>44362</v>
      </c>
      <c r="H14" s="1" cm="1">
        <f t="array" aca="1" ref="H14" ca="1">INDEX(Prices!A:A, MATCH(TRUE, INDEX(Prices!$2:$1048576, 0, MATCH(AssetsTable[[#This Row],[ID]], Prices!$1:$1, 0)) &lt;&gt; "", 0) + 1)</f>
        <v>45992</v>
      </c>
      <c r="I14" s="6">
        <f ca="1">AssetsTable[[#This Row],[DataStart]]-AssetsTable[[#This Row],[Inception]]</f>
        <v>1630</v>
      </c>
      <c r="J14" s="6" t="s">
        <v>21</v>
      </c>
      <c r="K14" t="str" cm="1">
        <f t="array" aca="1" ref="K14" ca="1">_FV(AssetsTable[[#This Row],[Asset]],"Name")</f>
        <v>Aktiespararna Smabolag Edge</v>
      </c>
      <c r="L14" s="6" t="s">
        <v>94</v>
      </c>
      <c r="M14" s="6" t="s">
        <v>95</v>
      </c>
    </row>
    <row r="15" spans="1:13" x14ac:dyDescent="0.4">
      <c r="A15" t="e" vm="10">
        <v>#VALUE!</v>
      </c>
      <c r="B15" t="s">
        <v>106</v>
      </c>
      <c r="C15" t="str" cm="1">
        <f t="array" aca="1" ref="C15" ca="1">_FV(A15,"Currency")</f>
        <v>SEK</v>
      </c>
      <c r="D15" t="s">
        <v>61</v>
      </c>
      <c r="E15" s="3" cm="1">
        <f t="array" aca="1" ref="E15" ca="1">_FV(A15,"Expense ratio",TRUE)</f>
        <v>5.6000000000000008E-3</v>
      </c>
      <c r="F15" s="3">
        <v>0.17499999999999999</v>
      </c>
      <c r="G15" s="1">
        <v>43777</v>
      </c>
      <c r="H15" s="1" cm="1">
        <f t="array" aca="1" ref="H15" ca="1">INDEX(Prices!A:A, MATCH(TRUE, INDEX(Prices!$2:$1048576, 0, MATCH(AssetsTable[[#This Row],[ID]], Prices!$1:$1, 0)) &lt;&gt; "", 0) + 1)</f>
        <v>45992</v>
      </c>
      <c r="I15" s="6">
        <f ca="1">AssetsTable[[#This Row],[DataStart]]-AssetsTable[[#This Row],[Inception]]</f>
        <v>2215</v>
      </c>
      <c r="J15" s="6" t="s">
        <v>22</v>
      </c>
      <c r="K15" t="str" cm="1">
        <f t="array" aca="1" ref="K15" ca="1">_FV(AssetsTable[[#This Row],[Asset]],"Name")</f>
        <v>Kvartil Investmentbolag + Calc A</v>
      </c>
      <c r="L15" s="6" t="s">
        <v>104</v>
      </c>
      <c r="M15" s="6"/>
    </row>
    <row r="16" spans="1:13" x14ac:dyDescent="0.4">
      <c r="A16" t="e" vm="11">
        <v>#VALUE!</v>
      </c>
      <c r="B16" t="s">
        <v>104</v>
      </c>
      <c r="C16" t="str" cm="1">
        <f t="array" aca="1" ref="C16" ca="1">_FV(A16,"Currency")</f>
        <v>SEK</v>
      </c>
      <c r="D16" t="s">
        <v>61</v>
      </c>
      <c r="E16" s="3" cm="1">
        <f t="array" aca="1" ref="E16" ca="1">_FV(A16,"Expense ratio",TRUE)</f>
        <v>2E-3</v>
      </c>
      <c r="F16" s="3">
        <v>0.17</v>
      </c>
      <c r="G16" s="1">
        <v>40877</v>
      </c>
      <c r="H16" s="1" cm="1">
        <f t="array" aca="1" ref="H16" ca="1">INDEX(Prices!A:A, MATCH(TRUE, INDEX(Prices!$2:$1048576, 0, MATCH(AssetsTable[[#This Row],[ID]], Prices!$1:$1, 0)) &lt;&gt; "", 0) + 1)</f>
        <v>45992</v>
      </c>
      <c r="I16" s="6">
        <f ca="1">AssetsTable[[#This Row],[DataStart]]-AssetsTable[[#This Row],[Inception]]</f>
        <v>5115</v>
      </c>
      <c r="J16" s="6" t="s">
        <v>74</v>
      </c>
      <c r="K16" s="6" t="str" cm="1">
        <f t="array" aca="1" ref="K16" ca="1">_FV(AssetsTable[[#This Row],[Asset]],"Name")</f>
        <v>Spiltan Aktiefond Investmentbolag</v>
      </c>
      <c r="L16" s="6"/>
      <c r="M16" s="6"/>
    </row>
    <row r="17" spans="1:13" x14ac:dyDescent="0.4">
      <c r="A17" t="e" vm="12">
        <v>#VALUE!</v>
      </c>
      <c r="B17" t="str" cm="1">
        <f t="array" aca="1" ref="B17" ca="1">_FV(AssetsTable[[#This Row],[Asset]],"Ticker symbol",TRUE)</f>
        <v>XDEV</v>
      </c>
      <c r="C17" t="str" cm="1">
        <f t="array" aca="1" ref="C17" ca="1">_FV(A17,"Currency")</f>
        <v>EUR</v>
      </c>
      <c r="D17" t="s">
        <v>61</v>
      </c>
      <c r="E17" s="3" cm="1">
        <f t="array" aca="1" ref="E17" ca="1">_FV(A17,"Expense ratio",TRUE)</f>
        <v>2.5000000000000001E-3</v>
      </c>
      <c r="F17" s="3">
        <v>0.12</v>
      </c>
      <c r="G17" s="1">
        <v>41893</v>
      </c>
      <c r="H17" s="1" cm="1">
        <f t="array" aca="1" ref="H17" ca="1">INDEX(Prices!A:A, MATCH(TRUE, INDEX(Prices!$2:$1048576, 0, MATCH(AssetsTable[[#This Row],[ID]], Prices!$1:$1, 0)) &lt;&gt; "", 0) + 1)</f>
        <v>45992</v>
      </c>
      <c r="I17" s="6">
        <f ca="1">AssetsTable[[#This Row],[DataStart]]-AssetsTable[[#This Row],[Inception]]</f>
        <v>4099</v>
      </c>
      <c r="J17" s="6" t="s">
        <v>45</v>
      </c>
      <c r="K17" s="6" t="str" cm="1">
        <f t="array" aca="1" ref="K17" ca="1">_FV(AssetsTable[[#This Row],[Asset]],"Name")</f>
        <v>X MSCI Wld Value UCITS ETF 1C</v>
      </c>
      <c r="L17" s="6" t="s">
        <v>98</v>
      </c>
      <c r="M17" s="6" t="s">
        <v>99</v>
      </c>
    </row>
    <row r="18" spans="1:13" x14ac:dyDescent="0.4">
      <c r="A18" s="2" t="s">
        <v>51</v>
      </c>
      <c r="E18" s="3"/>
      <c r="F18" s="3"/>
      <c r="G18" s="1"/>
      <c r="H18" s="1"/>
      <c r="I18" s="6"/>
      <c r="J18" s="6"/>
      <c r="L18" s="6"/>
      <c r="M18" s="6"/>
    </row>
    <row r="19" spans="1:13" x14ac:dyDescent="0.4">
      <c r="A19" t="e" vm="13">
        <v>#VALUE!</v>
      </c>
      <c r="B19" t="str" cm="1">
        <f t="array" aca="1" ref="B19" ca="1">_FV(AssetsTable[[#This Row],[Asset]],"Ticker symbol",TRUE)</f>
        <v>AVEM</v>
      </c>
      <c r="C19" t="str" cm="1">
        <f t="array" aca="1" ref="C19" ca="1">_FV(A19,"Currency")</f>
        <v>EUR</v>
      </c>
      <c r="D19" t="s">
        <v>61</v>
      </c>
      <c r="E19" s="3" cm="1">
        <f t="array" aca="1" ref="E19" ca="1">_FV(A19,"Expense ratio",TRUE)</f>
        <v>3.4999999999999996E-3</v>
      </c>
      <c r="F19" s="3">
        <v>0.15</v>
      </c>
      <c r="G19" s="1">
        <v>45635</v>
      </c>
      <c r="H19" s="1" cm="1">
        <f t="array" aca="1" ref="H19" ca="1">INDEX(Prices!A:A, MATCH(TRUE, INDEX(Prices!$2:$1048576, 0, MATCH(AssetsTable[[#This Row],[ID]], Prices!$1:$1, 0)) &lt;&gt; "", 0) + 1)</f>
        <v>45992</v>
      </c>
      <c r="I19" s="6">
        <f ca="1">AssetsTable[[#This Row],[DataStart]]-AssetsTable[[#This Row],[Inception]]</f>
        <v>357</v>
      </c>
      <c r="J19" s="6" t="s">
        <v>19</v>
      </c>
      <c r="K19" t="str" cm="1">
        <f t="array" aca="1" ref="K19" ca="1">_FV(AssetsTable[[#This Row],[Asset]],"Name")</f>
        <v>Avantis EM Eq UCITS ETF USDA</v>
      </c>
      <c r="L19" t="s">
        <v>88</v>
      </c>
      <c r="M19" s="6" t="s">
        <v>89</v>
      </c>
    </row>
    <row r="20" spans="1:13" x14ac:dyDescent="0.4">
      <c r="A20" t="e" vm="14">
        <v>#VALUE!</v>
      </c>
      <c r="B20" t="s">
        <v>107</v>
      </c>
      <c r="C20" t="str" cm="1">
        <f t="array" aca="1" ref="C20" ca="1">_FV(A20,"Currency")</f>
        <v>SEK</v>
      </c>
      <c r="D20" t="s">
        <v>61</v>
      </c>
      <c r="E20" s="3" cm="1">
        <f t="array" aca="1" ref="E20" ca="1">_FV(A20,"Expense ratio",TRUE)</f>
        <v>2.7000000000000001E-3</v>
      </c>
      <c r="F20" s="3">
        <v>0.15</v>
      </c>
      <c r="G20" s="1">
        <v>43556</v>
      </c>
      <c r="H20" s="1" cm="1">
        <f t="array" aca="1" ref="H20" ca="1">INDEX(Prices!A:A, MATCH(TRUE, INDEX(Prices!$2:$1048576, 0, MATCH(AssetsTable[[#This Row],[ID]], Prices!$1:$1, 0)) &lt;&gt; "", 0) + 1)</f>
        <v>45992</v>
      </c>
      <c r="I20" s="6">
        <f ca="1">AssetsTable[[#This Row],[DataStart]]-AssetsTable[[#This Row],[Inception]]</f>
        <v>2436</v>
      </c>
      <c r="J20" s="6" t="s">
        <v>44</v>
      </c>
      <c r="K20" s="6" t="str" cm="1">
        <f t="array" aca="1" ref="K20" ca="1">_FV(AssetsTable[[#This Row],[Asset]],"Name")</f>
        <v>Avanza Emerging Markets A</v>
      </c>
      <c r="L20" t="s">
        <v>108</v>
      </c>
      <c r="M20" s="6"/>
    </row>
    <row r="21" spans="1:13" x14ac:dyDescent="0.4">
      <c r="A21" t="e" vm="15">
        <v>#VALUE!</v>
      </c>
      <c r="B21" t="s">
        <v>108</v>
      </c>
      <c r="C21" t="str" cm="1">
        <f t="array" aca="1" ref="C21" ca="1">_FV(A21,"Currency")</f>
        <v>SEK</v>
      </c>
      <c r="E21" s="3" cm="1">
        <f t="array" aca="1" ref="E21" ca="1">_FV(A21,"Expense ratio",TRUE)</f>
        <v>4.3E-3</v>
      </c>
      <c r="F21" s="3">
        <v>0.15</v>
      </c>
      <c r="G21" s="1">
        <v>40505</v>
      </c>
      <c r="H21" s="1" cm="1">
        <f t="array" aca="1" ref="H21" ca="1">INDEX(Prices!A:A, MATCH(TRUE, INDEX(Prices!$2:$1048576, 0, MATCH(AssetsTable[[#This Row],[ID]], Prices!$1:$1, 0)) &lt;&gt; "", 0) + 1)</f>
        <v>45992</v>
      </c>
      <c r="I21" s="6">
        <f ca="1">AssetsTable[[#This Row],[DataStart]]-AssetsTable[[#This Row],[Inception]]</f>
        <v>5487</v>
      </c>
      <c r="J21" s="6" t="s">
        <v>83</v>
      </c>
      <c r="K21" s="6" t="str" cm="1">
        <f t="array" aca="1" ref="K21" ca="1">_FV(AssetsTable[[#This Row],[Asset]],"Name")</f>
        <v>Storebrand Emerging Markets A SEK</v>
      </c>
      <c r="L21" s="6"/>
      <c r="M21" s="6"/>
    </row>
    <row r="22" spans="1:13" x14ac:dyDescent="0.4">
      <c r="A22" s="2" t="s">
        <v>55</v>
      </c>
      <c r="E22" s="3"/>
      <c r="F22" s="3"/>
      <c r="G22" s="1"/>
      <c r="H22" s="1"/>
      <c r="I22" s="6"/>
      <c r="J22" s="6"/>
      <c r="L22" s="6"/>
      <c r="M22" s="6"/>
    </row>
    <row r="23" spans="1:13" x14ac:dyDescent="0.4">
      <c r="A23" t="e" vm="16">
        <v>#VALUE!</v>
      </c>
      <c r="B23" t="str" cm="1">
        <f t="array" aca="1" ref="B23" ca="1">_FV(AssetsTable[[#This Row],[Asset]],"Ticker symbol",TRUE)</f>
        <v>IS04</v>
      </c>
      <c r="C23" t="str" cm="1">
        <f t="array" aca="1" ref="C23" ca="1">_FV(A23,"Currency")</f>
        <v>EUR</v>
      </c>
      <c r="D23" t="s">
        <v>62</v>
      </c>
      <c r="E23" s="3" cm="1">
        <f t="array" aca="1" ref="E23" ca="1">_FV(A23,"Expense ratio",TRUE)</f>
        <v>7.000000000000001E-4</v>
      </c>
      <c r="F23" s="3">
        <v>0.15</v>
      </c>
      <c r="G23" s="1">
        <v>42024</v>
      </c>
      <c r="H23" s="1" cm="1">
        <f t="array" aca="1" ref="H23" ca="1">INDEX(Prices!A:A, MATCH(TRUE, INDEX(Prices!$2:$1048576, 0, MATCH(AssetsTable[[#This Row],[ID]], Prices!$1:$1, 0)) &lt;&gt; "", 0) + 1)</f>
        <v>45992</v>
      </c>
      <c r="I23" s="6">
        <f ca="1">AssetsTable[[#This Row],[DataStart]]-AssetsTable[[#This Row],[Inception]]</f>
        <v>3968</v>
      </c>
      <c r="J23" t="s">
        <v>25</v>
      </c>
      <c r="K23" t="str" cm="1">
        <f t="array" aca="1" ref="K23" ca="1">_FV(AssetsTable[[#This Row],[Asset]],"Name")</f>
        <v>iShs $ Trs Bd 20+y ETF USDD</v>
      </c>
      <c r="L23" s="6" t="s">
        <v>84</v>
      </c>
      <c r="M23" s="6"/>
    </row>
    <row r="24" spans="1:13" x14ac:dyDescent="0.4">
      <c r="A24" t="e" vm="17">
        <v>#VALUE!</v>
      </c>
      <c r="B24" t="str" cm="1">
        <f t="array" aca="1" ref="B24" ca="1">_FV(AssetsTable[[#This Row],[Asset]],"Ticker symbol",TRUE)</f>
        <v>DTLA</v>
      </c>
      <c r="C24" t="str" cm="1">
        <f t="array" aca="1" ref="C24" ca="1">_FV(A24,"Currency")</f>
        <v>USD</v>
      </c>
      <c r="D24" t="s">
        <v>61</v>
      </c>
      <c r="E24" s="3" cm="1">
        <f t="array" aca="1" ref="E24" ca="1">_FV(A24,"Expense ratio",TRUE)</f>
        <v>7.000000000000001E-4</v>
      </c>
      <c r="F24" s="3">
        <v>0.15</v>
      </c>
      <c r="G24" s="1">
        <v>43230</v>
      </c>
      <c r="H24" s="1" cm="1">
        <f t="array" aca="1" ref="H24" ca="1">INDEX(Prices!A:A, MATCH(TRUE, INDEX(Prices!$2:$1048576, 0, MATCH(AssetsTable[[#This Row],[ID]], Prices!$1:$1, 0)) &lt;&gt; "", 0) + 1)</f>
        <v>45992</v>
      </c>
      <c r="I24" s="6">
        <f ca="1">AssetsTable[[#This Row],[DataStart]]-AssetsTable[[#This Row],[Inception]]</f>
        <v>2762</v>
      </c>
      <c r="J24" s="6" t="s">
        <v>40</v>
      </c>
      <c r="K24" s="6" t="str" cm="1">
        <f t="array" aca="1" ref="K24" ca="1">_FV(AssetsTable[[#This Row],[Asset]],"Name")</f>
        <v>iShs $ Trs Bd 20+y ETF USDA</v>
      </c>
      <c r="L24" s="6"/>
      <c r="M24" s="6"/>
    </row>
    <row r="25" spans="1:13" x14ac:dyDescent="0.4">
      <c r="A25" t="e" vm="18">
        <v>#VALUE!</v>
      </c>
      <c r="B25" t="str" cm="1">
        <f t="array" aca="1" ref="B25" ca="1">_FV(AssetsTable[[#This Row],[Asset]],"Ticker symbol",TRUE)</f>
        <v>TLT</v>
      </c>
      <c r="C25" t="str" cm="1">
        <f t="array" aca="1" ref="C25" ca="1">_FV(A25,"Currency")</f>
        <v>USD</v>
      </c>
      <c r="D25" t="s">
        <v>62</v>
      </c>
      <c r="E25" s="3" cm="1">
        <f t="array" aca="1" ref="E25" ca="1">_FV(A25,"Expense ratio",TRUE)</f>
        <v>1.5E-3</v>
      </c>
      <c r="F25" s="3">
        <v>0.15</v>
      </c>
      <c r="G25" s="1">
        <v>37439</v>
      </c>
      <c r="H25" s="1" cm="1">
        <f t="array" aca="1" ref="H25" ca="1">INDEX(Prices!A:A, MATCH(TRUE, INDEX(Prices!$2:$1048576, 0, MATCH(AssetsTable[[#This Row],[ID]], Prices!$1:$1, 0)) &lt;&gt; "", 0) + 1)</f>
        <v>45992</v>
      </c>
      <c r="I25" s="6">
        <f ca="1">AssetsTable[[#This Row],[DataStart]]-AssetsTable[[#This Row],[Inception]]</f>
        <v>8553</v>
      </c>
      <c r="J25" s="6"/>
      <c r="K25" s="6" t="str" cm="1">
        <f t="array" aca="1" ref="K25" ca="1">_FV(AssetsTable[[#This Row],[Asset]],"Name")</f>
        <v>iShares:20+ Trs Bd ETF</v>
      </c>
      <c r="L25" s="6"/>
      <c r="M25" s="6"/>
    </row>
    <row r="26" spans="1:13" x14ac:dyDescent="0.4">
      <c r="A26" s="2" t="s">
        <v>56</v>
      </c>
      <c r="E26" s="3"/>
      <c r="F26" s="3"/>
      <c r="G26" s="1"/>
      <c r="H26" s="1"/>
      <c r="I26" s="6"/>
      <c r="J26" s="6"/>
      <c r="L26" s="6"/>
      <c r="M26" s="6"/>
    </row>
    <row r="27" spans="1:13" x14ac:dyDescent="0.4">
      <c r="A27" t="e" vm="19">
        <v>#VALUE!</v>
      </c>
      <c r="B27" t="str" cm="1">
        <f t="array" aca="1" ref="B27" ca="1">_FV(AssetsTable[[#This Row],[Asset]],"Ticker symbol",TRUE)</f>
        <v>CEB1</v>
      </c>
      <c r="C27" t="str" cm="1">
        <f t="array" aca="1" ref="C27" ca="1">_FV(A27,"Currency")</f>
        <v>EUR</v>
      </c>
      <c r="D27" t="s">
        <v>61</v>
      </c>
      <c r="E27" s="3" cm="1">
        <f t="array" aca="1" ref="E27" ca="1">_FV(A27,"Expense ratio",TRUE)</f>
        <v>1.5E-3</v>
      </c>
      <c r="F27" s="3">
        <v>0.15</v>
      </c>
      <c r="G27" s="1">
        <v>45441</v>
      </c>
      <c r="H27" s="1" cm="1">
        <f t="array" aca="1" ref="H27" ca="1">INDEX(Prices!A:A, MATCH(TRUE, INDEX(Prices!$2:$1048576, 0, MATCH(AssetsTable[[#This Row],[ID]], Prices!$1:$1, 0)) &lt;&gt; "", 0) + 1)</f>
        <v>45992</v>
      </c>
      <c r="I27" s="6">
        <f ca="1">AssetsTable[[#This Row],[DataStart]]-AssetsTable[[#This Row],[Inception]]</f>
        <v>551</v>
      </c>
      <c r="J27" t="s">
        <v>26</v>
      </c>
      <c r="K27" t="str" cm="1">
        <f t="array" aca="1" ref="K27" ca="1">_FV(AssetsTable[[#This Row],[Asset]],"Name")</f>
        <v>iShs € Gvt Bd20yrTgtDurETFEURA</v>
      </c>
      <c r="L27" s="6" t="s">
        <v>63</v>
      </c>
      <c r="M27" s="6"/>
    </row>
    <row r="28" spans="1:13" x14ac:dyDescent="0.4">
      <c r="A28" t="e" vm="20">
        <v>#VALUE!</v>
      </c>
      <c r="B28" t="str" cm="1">
        <f t="array" aca="1" ref="B28" ca="1">_FV(AssetsTable[[#This Row],[Asset]],"Ticker symbol",TRUE)</f>
        <v>DBXG</v>
      </c>
      <c r="C28" t="str" cm="1">
        <f t="array" aca="1" ref="C28" ca="1">_FV(A28,"Currency")</f>
        <v>EUR</v>
      </c>
      <c r="D28" t="s">
        <v>61</v>
      </c>
      <c r="E28" s="3" cm="1">
        <f t="array" aca="1" ref="E28" ca="1">_FV(A28,"Expense ratio",TRUE)</f>
        <v>1.5E-3</v>
      </c>
      <c r="F28" s="3">
        <v>0.15</v>
      </c>
      <c r="G28" s="1">
        <v>39238</v>
      </c>
      <c r="H28" s="1" cm="1">
        <f t="array" aca="1" ref="H28" ca="1">INDEX(Prices!A:A, MATCH(TRUE, INDEX(Prices!$2:$1048576, 0, MATCH(AssetsTable[[#This Row],[ID]], Prices!$1:$1, 0)) &lt;&gt; "", 0) + 1)</f>
        <v>45992</v>
      </c>
      <c r="I28" s="6">
        <f ca="1">AssetsTable[[#This Row],[DataStart]]-AssetsTable[[#This Row],[Inception]]</f>
        <v>6754</v>
      </c>
      <c r="J28" s="6" t="s">
        <v>41</v>
      </c>
      <c r="K28" s="6" t="str" cm="1">
        <f t="array" aca="1" ref="K28" ca="1">_FV(AssetsTable[[#This Row],[Asset]],"Name")</f>
        <v>X EUROZONE GOV 25+ 1C</v>
      </c>
      <c r="L28" s="6"/>
      <c r="M28" s="6"/>
    </row>
    <row r="29" spans="1:13" x14ac:dyDescent="0.4">
      <c r="A29" s="2" t="s">
        <v>58</v>
      </c>
      <c r="E29" s="3"/>
      <c r="F29" s="3"/>
      <c r="G29" s="1"/>
      <c r="H29" s="1"/>
      <c r="I29" s="6"/>
      <c r="J29" s="6"/>
      <c r="L29" s="6"/>
      <c r="M29" s="6"/>
    </row>
    <row r="30" spans="1:13" x14ac:dyDescent="0.4">
      <c r="A30" t="e" vm="21">
        <v>#VALUE!</v>
      </c>
      <c r="B30" t="s">
        <v>110</v>
      </c>
      <c r="C30" t="str" cm="1">
        <f t="array" aca="1" ref="C30" ca="1">_FV(A30,"Currency")</f>
        <v>SEK</v>
      </c>
      <c r="D30" t="s">
        <v>61</v>
      </c>
      <c r="E30" s="3" cm="1">
        <f t="array" aca="1" ref="E30" ca="1">_FV(A30,"Expense ratio",TRUE)</f>
        <v>5.0000000000000001E-3</v>
      </c>
      <c r="F30" s="3">
        <v>0.1</v>
      </c>
      <c r="G30" s="1">
        <v>43635</v>
      </c>
      <c r="H30" s="1" cm="1">
        <f t="array" aca="1" ref="H30" ca="1">INDEX(Prices!A:A, MATCH(TRUE, INDEX(Prices!$2:$1048576, 0, MATCH(AssetsTable[[#This Row],[ID]], Prices!$1:$1, 0)) &lt;&gt; "", 0) + 1)</f>
        <v>45992</v>
      </c>
      <c r="I30" s="6">
        <f ca="1">AssetsTable[[#This Row],[DataStart]]-AssetsTable[[#This Row],[Inception]]</f>
        <v>2357</v>
      </c>
      <c r="J30" t="s">
        <v>24</v>
      </c>
      <c r="K30" t="str" cm="1">
        <f t="array" aca="1" ref="K30" ca="1">_FV(AssetsTable[[#This Row],[Asset]],"Name")</f>
        <v>Captor Iris Bond A</v>
      </c>
      <c r="L30" t="s">
        <v>109</v>
      </c>
      <c r="M30" s="6"/>
    </row>
    <row r="31" spans="1:13" x14ac:dyDescent="0.4">
      <c r="A31" t="e" vm="22">
        <v>#VALUE!</v>
      </c>
      <c r="B31" t="s">
        <v>109</v>
      </c>
      <c r="C31" t="str" cm="1">
        <f t="array" aca="1" ref="C31" ca="1">_FV(A31,"Currency")</f>
        <v>SEK</v>
      </c>
      <c r="D31" t="s">
        <v>61</v>
      </c>
      <c r="E31" s="3" cm="1">
        <f t="array" aca="1" ref="E31" ca="1">_FV(A31,"Expense ratio",TRUE)</f>
        <v>1E-3</v>
      </c>
      <c r="F31" s="3">
        <v>0.03</v>
      </c>
      <c r="G31" s="1">
        <v>36159</v>
      </c>
      <c r="H31" s="1" cm="1">
        <f t="array" aca="1" ref="H31" ca="1">INDEX(Prices!A:A, MATCH(TRUE, INDEX(Prices!$2:$1048576, 0, MATCH(AssetsTable[[#This Row],[ID]], Prices!$1:$1, 0)) &lt;&gt; "", 0) + 1)</f>
        <v>45992</v>
      </c>
      <c r="I31" s="6">
        <f ca="1">AssetsTable[[#This Row],[DataStart]]-AssetsTable[[#This Row],[Inception]]</f>
        <v>9833</v>
      </c>
      <c r="J31" s="6" t="s">
        <v>72</v>
      </c>
      <c r="K31" s="6" t="str" cm="1">
        <f t="array" aca="1" ref="K31" ca="1">_FV(AssetsTable[[#This Row],[Asset]],"Name")</f>
        <v>AMF Rantefond Lang</v>
      </c>
      <c r="L31" s="6"/>
      <c r="M31" s="6"/>
    </row>
    <row r="32" spans="1:13" x14ac:dyDescent="0.4">
      <c r="A32" s="2" t="s">
        <v>57</v>
      </c>
      <c r="E32" s="3"/>
      <c r="F32" s="3"/>
      <c r="G32" s="1"/>
      <c r="H32" s="1"/>
      <c r="I32" s="6"/>
      <c r="J32" s="6"/>
      <c r="L32" s="6"/>
      <c r="M32" s="6"/>
    </row>
    <row r="33" spans="1:13" x14ac:dyDescent="0.4">
      <c r="A33" t="e" vm="23">
        <v>#VALUE!</v>
      </c>
      <c r="B33" t="s">
        <v>111</v>
      </c>
      <c r="C33" t="str" cm="1">
        <f t="array" aca="1" ref="C33" ca="1">_FV(A33,"Currency")</f>
        <v>SEK</v>
      </c>
      <c r="D33" t="s">
        <v>61</v>
      </c>
      <c r="E33" s="3" cm="1">
        <f t="array" aca="1" ref="E33" ca="1">_FV(A33,"Expense ratio",TRUE)</f>
        <v>6.0000000000000001E-3</v>
      </c>
      <c r="F33" s="3">
        <v>0.125</v>
      </c>
      <c r="G33" s="1">
        <v>44294</v>
      </c>
      <c r="H33" s="1" cm="1">
        <f t="array" aca="1" ref="H33" ca="1">INDEX(Prices!A:A, MATCH(TRUE, INDEX(Prices!$2:$1048576, 0, MATCH(AssetsTable[[#This Row],[ID]], Prices!$1:$1, 0)) &lt;&gt; "", 0) + 1)</f>
        <v>45992</v>
      </c>
      <c r="I33" s="6">
        <f ca="1">AssetsTable[[#This Row],[DataStart]]-AssetsTable[[#This Row],[Inception]]</f>
        <v>1698</v>
      </c>
      <c r="J33" t="s">
        <v>23</v>
      </c>
      <c r="K33" t="str" cm="1">
        <f t="array" aca="1" ref="K33" ca="1">_FV(AssetsTable[[#This Row],[Asset]],"Name")</f>
        <v>Captor Aster Global Credit A</v>
      </c>
      <c r="L33" s="6" t="s">
        <v>112</v>
      </c>
      <c r="M33" s="6"/>
    </row>
    <row r="34" spans="1:13" x14ac:dyDescent="0.4">
      <c r="A34" t="e" vm="24">
        <v>#VALUE!</v>
      </c>
      <c r="B34" t="s">
        <v>112</v>
      </c>
      <c r="C34" t="str" cm="1">
        <f t="array" aca="1" ref="C34" ca="1">_FV(A34,"Currency")</f>
        <v>SEK</v>
      </c>
      <c r="D34" t="s">
        <v>61</v>
      </c>
      <c r="E34" s="3" cm="1">
        <f t="array" aca="1" ref="E34" ca="1">_FV(A34,"Expense ratio",TRUE)</f>
        <v>5.1000000000000004E-3</v>
      </c>
      <c r="F34" s="3">
        <v>0.03</v>
      </c>
      <c r="G34" s="1">
        <v>43234</v>
      </c>
      <c r="H34" s="1" cm="1">
        <f t="array" aca="1" ref="H34" ca="1">INDEX(Prices!A:A, MATCH(TRUE, INDEX(Prices!$2:$1048576, 0, MATCH(AssetsTable[[#This Row],[ID]], Prices!$1:$1, 0)) &lt;&gt; "", 0) + 1)</f>
        <v>45992</v>
      </c>
      <c r="I34" s="6">
        <f ca="1">AssetsTable[[#This Row],[DataStart]]-AssetsTable[[#This Row],[Inception]]</f>
        <v>2758</v>
      </c>
      <c r="J34" s="6" t="s">
        <v>75</v>
      </c>
      <c r="K34" s="6" t="str" cm="1">
        <f t="array" aca="1" ref="K34" ca="1">_FV(AssetsTable[[#This Row],[Asset]],"Name")</f>
        <v>Storebrand Global Foretagsobligation A SEK</v>
      </c>
      <c r="L34" t="s">
        <v>113</v>
      </c>
      <c r="M34" s="6"/>
    </row>
    <row r="35" spans="1:13" x14ac:dyDescent="0.4">
      <c r="A35" t="e" vm="25">
        <v>#VALUE!</v>
      </c>
      <c r="B35" t="s">
        <v>113</v>
      </c>
      <c r="C35" t="str" cm="1">
        <f t="array" aca="1" ref="C35" ca="1">_FV(A35,"Currency")</f>
        <v>SEK</v>
      </c>
      <c r="D35" t="s">
        <v>61</v>
      </c>
      <c r="E35" s="3" cm="1">
        <f t="array" aca="1" ref="E35" ca="1">_FV(A35,"Expense ratio",TRUE)</f>
        <v>1.06E-2</v>
      </c>
      <c r="F35" s="3">
        <v>0.05</v>
      </c>
      <c r="G35" s="1">
        <v>39863</v>
      </c>
      <c r="H35" s="1" cm="1">
        <f t="array" aca="1" ref="H35" ca="1">INDEX(Prices!A:A, MATCH(TRUE, INDEX(Prices!$2:$1048576, 0, MATCH(AssetsTable[[#This Row],[ID]], Prices!$1:$1, 0)) &lt;&gt; "", 0) + 1)</f>
        <v>45992</v>
      </c>
      <c r="I35" s="6">
        <f ca="1">AssetsTable[[#This Row],[DataStart]]-AssetsTable[[#This Row],[Inception]]</f>
        <v>6129</v>
      </c>
      <c r="J35" s="6" t="s">
        <v>79</v>
      </c>
      <c r="K35" s="6" t="str" cm="1">
        <f t="array" aca="1" ref="K35" ca="1">_FV(AssetsTable[[#This Row],[Asset]],"Name")</f>
        <v>SEB Global High Yield Fund C (H-SEK)</v>
      </c>
      <c r="L35" s="6"/>
      <c r="M35" s="6"/>
    </row>
    <row r="36" spans="1:13" x14ac:dyDescent="0.4">
      <c r="A36" s="2" t="s">
        <v>59</v>
      </c>
      <c r="E36" s="3"/>
      <c r="F36" s="3"/>
      <c r="G36" s="1"/>
      <c r="H36" s="1"/>
      <c r="I36" s="6"/>
      <c r="J36" s="6"/>
      <c r="L36" s="6"/>
      <c r="M36" s="6"/>
    </row>
    <row r="37" spans="1:13" x14ac:dyDescent="0.4">
      <c r="A37" t="e" vm="26">
        <v>#VALUE!</v>
      </c>
      <c r="B37" t="str" cm="1">
        <f t="array" aca="1" ref="B37" ca="1">_FV(AssetsTable[[#This Row],[Asset]],"Ticker symbol",TRUE)</f>
        <v>EN4C</v>
      </c>
      <c r="C37" t="str" cm="1">
        <f t="array" aca="1" ref="C37" ca="1">_FV(A37,"Currency")</f>
        <v>EUR</v>
      </c>
      <c r="D37" t="s">
        <v>61</v>
      </c>
      <c r="E37" s="3" cm="1">
        <f t="array" aca="1" ref="E37" ca="1">_FV(A37,"Expense ratio",TRUE)</f>
        <v>3.0000000000000001E-3</v>
      </c>
      <c r="F37" s="3">
        <v>0.15</v>
      </c>
      <c r="G37" s="1">
        <v>44382</v>
      </c>
      <c r="H37" s="1" cm="1">
        <f t="array" aca="1" ref="H37" ca="1">INDEX(Prices!A:A, MATCH(TRUE, INDEX(Prices!$2:$1048576, 0, MATCH(AssetsTable[[#This Row],[ID]], Prices!$1:$1, 0)) &lt;&gt; "", 0) + 1)</f>
        <v>45992</v>
      </c>
      <c r="I37" s="6">
        <f ca="1">AssetsTable[[#This Row],[DataStart]]-AssetsTable[[#This Row],[Inception]]</f>
        <v>1610</v>
      </c>
      <c r="J37" t="s">
        <v>27</v>
      </c>
      <c r="K37" t="str" cm="1">
        <f t="array" aca="1" ref="K37" ca="1">_FV(AssetsTable[[#This Row],[Asset]],"Name")</f>
        <v>L&amp;GMltStrgEnhCommsUCITSETFUSDA</v>
      </c>
      <c r="L37" s="6" t="s">
        <v>85</v>
      </c>
      <c r="M37" s="6" t="s">
        <v>81</v>
      </c>
    </row>
    <row r="38" spans="1:13" x14ac:dyDescent="0.4">
      <c r="A38" t="e" vm="27">
        <v>#VALUE!</v>
      </c>
      <c r="B38" t="str" cm="1">
        <f t="array" aca="1" ref="B38" ca="1">_FV(AssetsTable[[#This Row],[Asset]],"Ticker symbol",TRUE)</f>
        <v>PDBC</v>
      </c>
      <c r="C38" t="str" cm="1">
        <f t="array" aca="1" ref="C38" ca="1">_FV(A38,"Currency")</f>
        <v>USD</v>
      </c>
      <c r="D38" t="s">
        <v>62</v>
      </c>
      <c r="E38" s="3" cm="1">
        <f t="array" aca="1" ref="E38" ca="1">_FV(A38,"Expense ratio",TRUE)</f>
        <v>4.4000000000000003E-3</v>
      </c>
      <c r="F38" s="3">
        <v>0.17</v>
      </c>
      <c r="G38" s="1">
        <v>41950</v>
      </c>
      <c r="H38" s="1" cm="1">
        <f t="array" aca="1" ref="H38" ca="1">INDEX(Prices!A:A, MATCH(TRUE, INDEX(Prices!$2:$1048576, 0, MATCH(AssetsTable[[#This Row],[ID]], Prices!$1:$1, 0)) &lt;&gt; "", 0) + 1)</f>
        <v>45992</v>
      </c>
      <c r="I38" s="6">
        <f ca="1">AssetsTable[[#This Row],[DataStart]]-AssetsTable[[#This Row],[Inception]]</f>
        <v>4042</v>
      </c>
      <c r="J38" s="6"/>
      <c r="K38" s="6" t="str" cm="1">
        <f t="array" aca="1" ref="K38" ca="1">_FV(AssetsTable[[#This Row],[Asset]],"Name")</f>
        <v>Invesco OYDCS No K-1</v>
      </c>
      <c r="L38" s="6" t="s">
        <v>73</v>
      </c>
      <c r="M38" s="6"/>
    </row>
    <row r="39" spans="1:13" x14ac:dyDescent="0.4">
      <c r="A39" t="e" vm="28">
        <v>#VALUE!</v>
      </c>
      <c r="B39" t="str" cm="1">
        <f t="array" aca="1" ref="B39" ca="1">_FV(AssetsTable[[#This Row],[Asset]],"Ticker symbol",TRUE)</f>
        <v>DBC</v>
      </c>
      <c r="C39" t="str" cm="1">
        <f t="array" aca="1" ref="C39" ca="1">_FV(A39,"Currency")</f>
        <v>USD</v>
      </c>
      <c r="D39" t="s">
        <v>62</v>
      </c>
      <c r="E39" s="3" cm="1">
        <f t="array" aca="1" ref="E39" ca="1">_FV(A39,"Expense ratio",TRUE)</f>
        <v>8.199999999999999E-3</v>
      </c>
      <c r="F39" s="3">
        <v>0.17</v>
      </c>
      <c r="G39" s="1">
        <v>38751</v>
      </c>
      <c r="H39" s="1" cm="1">
        <f t="array" aca="1" ref="H39" ca="1">INDEX(Prices!A:A, MATCH(TRUE, INDEX(Prices!$2:$1048576, 0, MATCH(AssetsTable[[#This Row],[ID]], Prices!$1:$1, 0)) &lt;&gt; "", 0) + 1)</f>
        <v>45992</v>
      </c>
      <c r="I39" s="6">
        <f ca="1">AssetsTable[[#This Row],[DataStart]]-AssetsTable[[#This Row],[Inception]]</f>
        <v>7241</v>
      </c>
      <c r="J39" s="6"/>
      <c r="K39" s="6" t="str" cm="1">
        <f t="array" aca="1" ref="K39" ca="1">_FV(AssetsTable[[#This Row],[Asset]],"Name")</f>
        <v>Invesco DB Cm Idx</v>
      </c>
      <c r="L39" s="6"/>
      <c r="M39" s="6"/>
    </row>
    <row r="40" spans="1:13" x14ac:dyDescent="0.4">
      <c r="A40" s="2" t="s">
        <v>54</v>
      </c>
      <c r="E40" s="3"/>
      <c r="F40" s="3"/>
      <c r="G40" s="1"/>
      <c r="H40" s="1"/>
      <c r="I40" s="6"/>
      <c r="J40" s="6"/>
      <c r="L40" s="6"/>
      <c r="M40" s="6"/>
    </row>
    <row r="41" spans="1:13" x14ac:dyDescent="0.4">
      <c r="A41" t="e" vm="29">
        <v>#VALUE!</v>
      </c>
      <c r="B41" t="s">
        <v>114</v>
      </c>
      <c r="C41" t="str" cm="1">
        <f t="array" aca="1" ref="C41" ca="1">_FV(A41,"Currency")</f>
        <v>SEK</v>
      </c>
      <c r="D41" t="s">
        <v>61</v>
      </c>
      <c r="E41" s="3" cm="1">
        <f t="array" aca="1" ref="E41" ca="1">_FV(A41,"Expense ratio",TRUE)</f>
        <v>3.0000000000000001E-3</v>
      </c>
      <c r="F41" s="3">
        <v>0.05</v>
      </c>
      <c r="G41" s="1">
        <v>37585</v>
      </c>
      <c r="H41" s="1" cm="1">
        <f t="array" aca="1" ref="H41" ca="1">INDEX(Prices!A:A, MATCH(TRUE, INDEX(Prices!$2:$1048576, 0, MATCH(AssetsTable[[#This Row],[ID]], Prices!$1:$1, 0)) &lt;&gt; "", 0) + 1)</f>
        <v>45992</v>
      </c>
      <c r="I41" s="6">
        <f ca="1">AssetsTable[[#This Row],[DataStart]]-AssetsTable[[#This Row],[Inception]]</f>
        <v>8407</v>
      </c>
      <c r="J41" t="s">
        <v>28</v>
      </c>
      <c r="K41" t="str" cm="1">
        <f t="array" aca="1" ref="K41" ca="1">_FV(AssetsTable[[#This Row],[Asset]],"Name")</f>
        <v>Swedbank Robur Realranta</v>
      </c>
      <c r="L41" s="6" t="s">
        <v>86</v>
      </c>
      <c r="M41" s="6" t="s">
        <v>87</v>
      </c>
    </row>
    <row r="42" spans="1:13" x14ac:dyDescent="0.4">
      <c r="A42" t="e" vm="30">
        <v>#VALUE!</v>
      </c>
      <c r="B42" t="s">
        <v>115</v>
      </c>
      <c r="C42" t="str" cm="1">
        <f t="array" aca="1" ref="C42" ca="1">_FV(A42,"Currency")</f>
        <v>SEK</v>
      </c>
      <c r="D42" t="s">
        <v>61</v>
      </c>
      <c r="E42" s="3" cm="1">
        <f t="array" aca="1" ref="E42" ca="1">_FV(A42,"Expense ratio",TRUE)</f>
        <v>6.1999999999999998E-3</v>
      </c>
      <c r="F42" s="3">
        <v>7.4999999999999997E-2</v>
      </c>
      <c r="G42" s="1">
        <v>40423</v>
      </c>
      <c r="H42" s="1" cm="1">
        <f t="array" aca="1" ref="H42" ca="1">INDEX(Prices!A:A, MATCH(TRUE, INDEX(Prices!$2:$1048576, 0, MATCH(AssetsTable[[#This Row],[ID]], Prices!$1:$1, 0)) &lt;&gt; "", 0) + 1)</f>
        <v>45992</v>
      </c>
      <c r="I42" s="6">
        <f ca="1">AssetsTable[[#This Row],[DataStart]]-AssetsTable[[#This Row],[Inception]]</f>
        <v>5569</v>
      </c>
      <c r="J42" t="s">
        <v>29</v>
      </c>
      <c r="K42" t="str" cm="1">
        <f t="array" aca="1" ref="K42" ca="1">_FV(AssetsTable[[#This Row],[Asset]],"Name")</f>
        <v>Danske Invest Globala Realrantor SEK h</v>
      </c>
      <c r="L42" s="6"/>
      <c r="M42" s="6"/>
    </row>
    <row r="43" spans="1:13" x14ac:dyDescent="0.4">
      <c r="A43" s="2" t="s">
        <v>47</v>
      </c>
      <c r="E43" s="3"/>
      <c r="F43" s="3"/>
      <c r="G43" s="1"/>
      <c r="H43" s="1"/>
      <c r="I43" s="6"/>
      <c r="J43" s="6"/>
      <c r="L43" s="6"/>
      <c r="M43" s="6"/>
    </row>
    <row r="44" spans="1:13" x14ac:dyDescent="0.4">
      <c r="A44" t="e" vm="31">
        <v>#VALUE!</v>
      </c>
      <c r="B44" t="str" cm="1">
        <f t="array" aca="1" ref="B44" ca="1">_FV(AssetsTable[[#This Row],[Asset]],"Ticker symbol",TRUE)</f>
        <v>GLDA</v>
      </c>
      <c r="C44" t="str" cm="1">
        <f t="array" aca="1" ref="C44" ca="1">_FV(A44,"Currency")</f>
        <v>EUR</v>
      </c>
      <c r="D44" t="s">
        <v>61</v>
      </c>
      <c r="E44" s="3">
        <v>1.1999999999999999E-3</v>
      </c>
      <c r="F44" s="3">
        <v>0.15</v>
      </c>
      <c r="G44" s="1">
        <v>43606</v>
      </c>
      <c r="H44" s="1" cm="1">
        <f t="array" aca="1" ref="H44" ca="1">INDEX(Prices!A:A, MATCH(TRUE, INDEX(Prices!$2:$1048576, 0, MATCH(AssetsTable[[#This Row],[ID]], Prices!$1:$1, 0)) &lt;&gt; "", 0) + 1)</f>
        <v>45992</v>
      </c>
      <c r="I44" s="6">
        <f ca="1">AssetsTable[[#This Row],[DataStart]]-AssetsTable[[#This Row],[Inception]]</f>
        <v>2386</v>
      </c>
      <c r="J44" t="s">
        <v>30</v>
      </c>
      <c r="K44" t="str" cm="1">
        <f t="array" aca="1" ref="K44" ca="1">_FV(AssetsTable[[#This Row],[Asset]],"Name")</f>
        <v>AMND GOLD LBMA ETF</v>
      </c>
      <c r="L44" t="s">
        <v>53</v>
      </c>
      <c r="M44" s="6"/>
    </row>
    <row r="45" spans="1:13" x14ac:dyDescent="0.4">
      <c r="A45" t="e" vm="32">
        <v>#VALUE!</v>
      </c>
      <c r="B45" t="str" cm="1">
        <f t="array" aca="1" ref="B45" ca="1">_FV(AssetsTable[[#This Row],[Asset]],"Ticker symbol",TRUE)</f>
        <v>8PSG</v>
      </c>
      <c r="C45" t="str" cm="1">
        <f t="array" aca="1" ref="C45" ca="1">_FV(A45,"Currency")</f>
        <v>EUR</v>
      </c>
      <c r="D45" t="s">
        <v>61</v>
      </c>
      <c r="E45" s="3">
        <v>1.1999999999999999E-3</v>
      </c>
      <c r="F45" s="3">
        <v>0.15</v>
      </c>
      <c r="G45" s="1">
        <v>39989</v>
      </c>
      <c r="H45" s="1" cm="1">
        <f t="array" aca="1" ref="H45" ca="1">INDEX(Prices!A:A, MATCH(TRUE, INDEX(Prices!$2:$1048576, 0, MATCH(AssetsTable[[#This Row],[ID]], Prices!$1:$1, 0)) &lt;&gt; "", 0) + 1)</f>
        <v>45992</v>
      </c>
      <c r="I45" s="6">
        <f ca="1">AssetsTable[[#This Row],[DataStart]]-AssetsTable[[#This Row],[Inception]]</f>
        <v>6003</v>
      </c>
      <c r="J45" t="s">
        <v>31</v>
      </c>
      <c r="K45" t="str" cm="1">
        <f t="array" aca="1" ref="K45" ca="1">_FV(AssetsTable[[#This Row],[Asset]],"Name")</f>
        <v>INVESCO PHYSICAL GOLD ETC</v>
      </c>
      <c r="L45" t="s">
        <v>53</v>
      </c>
      <c r="M45" s="6"/>
    </row>
    <row r="46" spans="1:13" x14ac:dyDescent="0.4">
      <c r="A46" t="e" vm="33">
        <v>#VALUE!</v>
      </c>
      <c r="B46" t="str" cm="1">
        <f t="array" aca="1" ref="B46" ca="1">_FV(AssetsTable[[#This Row],[Asset]],"Ticker symbol",TRUE)</f>
        <v>GZUR</v>
      </c>
      <c r="C46" t="str" cm="1">
        <f t="array" aca="1" ref="C46" ca="1">_FV(A46,"Currency")</f>
        <v>EUR</v>
      </c>
      <c r="D46" t="s">
        <v>61</v>
      </c>
      <c r="E46" s="3" cm="1">
        <f t="array" aca="1" ref="E46" ca="1">_FV(A46,"Expense ratio",TRUE)</f>
        <v>1.5E-3</v>
      </c>
      <c r="F46" s="3">
        <v>0.15</v>
      </c>
      <c r="G46" s="1">
        <v>40163</v>
      </c>
      <c r="H46" s="1" cm="1">
        <f t="array" aca="1" ref="H46" ca="1">INDEX(Prices!A:A, MATCH(TRUE, INDEX(Prices!$2:$1048576, 0, MATCH(AssetsTable[[#This Row],[ID]], Prices!$1:$1, 0)) &lt;&gt; "", 0) + 1)</f>
        <v>45992</v>
      </c>
      <c r="I46" s="6">
        <f ca="1">AssetsTable[[#This Row],[DataStart]]-AssetsTable[[#This Row],[Inception]]</f>
        <v>5829</v>
      </c>
      <c r="J46" t="s">
        <v>32</v>
      </c>
      <c r="K46" t="str" cm="1">
        <f t="array" aca="1" ref="K46" ca="1">_FV(AssetsTable[[#This Row],[Asset]],"Name")</f>
        <v>WT Physical Swiss Gold</v>
      </c>
      <c r="L46" t="s">
        <v>53</v>
      </c>
      <c r="M46" s="6"/>
    </row>
    <row r="47" spans="1:13" x14ac:dyDescent="0.4">
      <c r="A47" t="e" vm="34">
        <v>#VALUE!</v>
      </c>
      <c r="B47" t="str" cm="1">
        <f t="array" aca="1" ref="B47" ca="1">_FV(AssetsTable[[#This Row],[Asset]],"Ticker symbol",TRUE)</f>
        <v>4GLD</v>
      </c>
      <c r="C47" t="str" cm="1">
        <f t="array" aca="1" ref="C47" ca="1">_FV(A47,"Currency")</f>
        <v>EUR</v>
      </c>
      <c r="D47" t="s">
        <v>61</v>
      </c>
      <c r="E47" s="3">
        <v>0</v>
      </c>
      <c r="F47" s="3">
        <v>0.15</v>
      </c>
      <c r="G47" s="1">
        <v>39413</v>
      </c>
      <c r="H47" s="1" cm="1">
        <f t="array" aca="1" ref="H47" ca="1">INDEX(Prices!A:A, MATCH(TRUE, INDEX(Prices!$2:$1048576, 0, MATCH(AssetsTable[[#This Row],[ID]], Prices!$1:$1, 0)) &lt;&gt; "", 0) + 1)</f>
        <v>45992</v>
      </c>
      <c r="I47" s="6">
        <f ca="1">AssetsTable[[#This Row],[DataStart]]-AssetsTable[[#This Row],[Inception]]</f>
        <v>6579</v>
      </c>
      <c r="J47" s="6" t="s">
        <v>16</v>
      </c>
      <c r="K47" s="6" t="str" cm="1">
        <f t="array" aca="1" ref="K47" ca="1">_FV(AssetsTable[[#This Row],[Asset]],"Name")</f>
        <v>DT BOERSE COMMOD GOLD ETC</v>
      </c>
      <c r="L47" s="6"/>
      <c r="M47" s="6"/>
    </row>
    <row r="48" spans="1:13" x14ac:dyDescent="0.4">
      <c r="A48" s="2" t="s">
        <v>68</v>
      </c>
      <c r="E48" s="3"/>
      <c r="F48" s="3"/>
      <c r="G48" s="1"/>
      <c r="H48" s="1"/>
      <c r="I48" s="6"/>
      <c r="J48" s="6"/>
      <c r="L48" s="6"/>
      <c r="M48" s="6"/>
    </row>
    <row r="49" spans="1:13" x14ac:dyDescent="0.4">
      <c r="A49" t="e" vm="35">
        <v>#VALUE!</v>
      </c>
      <c r="B49" t="s">
        <v>116</v>
      </c>
      <c r="C49" t="str" cm="1">
        <f t="array" aca="1" ref="C49" ca="1">_FV(A49,"Currency")</f>
        <v>USD</v>
      </c>
      <c r="D49" t="s">
        <v>61</v>
      </c>
      <c r="E49" s="3" cm="1">
        <f t="array" aca="1" ref="E49" ca="1">_FV(A49,"Expense ratio",TRUE)</f>
        <v>1.4800000000000001E-2</v>
      </c>
      <c r="F49" s="3">
        <v>0.15</v>
      </c>
      <c r="G49" s="1">
        <v>39401</v>
      </c>
      <c r="H49" s="1" cm="1">
        <f t="array" aca="1" ref="H49" ca="1">INDEX(Prices!A:A, MATCH(TRUE, INDEX(Prices!$2:$1048576, 0, MATCH(AssetsTable[[#This Row],[ID]], Prices!$1:$1, 0)) &lt;&gt; "", 0) + 1)</f>
        <v>45992</v>
      </c>
      <c r="I49" s="6">
        <f ca="1">AssetsTable[[#This Row],[DataStart]]-AssetsTable[[#This Row],[Inception]]</f>
        <v>6591</v>
      </c>
      <c r="J49" t="s">
        <v>34</v>
      </c>
      <c r="K49" t="str" cm="1">
        <f t="array" aca="1" ref="K49" ca="1">_FV(AssetsTable[[#This Row],[Asset]],"Name")</f>
        <v>Amundi Funds Volatility World - A USD (C)</v>
      </c>
      <c r="L49" s="6" t="s">
        <v>67</v>
      </c>
      <c r="M49" s="6"/>
    </row>
    <row r="50" spans="1:13" x14ac:dyDescent="0.4">
      <c r="A50" s="2" t="s">
        <v>69</v>
      </c>
      <c r="E50" s="3"/>
      <c r="F50" s="3"/>
      <c r="G50" s="1"/>
      <c r="H50" s="1"/>
      <c r="I50" s="6"/>
      <c r="J50" s="6"/>
      <c r="L50" s="6"/>
      <c r="M50" s="6"/>
    </row>
    <row r="51" spans="1:13" x14ac:dyDescent="0.4">
      <c r="A51" t="e" vm="36">
        <v>#VALUE!</v>
      </c>
      <c r="B51" t="s">
        <v>117</v>
      </c>
      <c r="C51" t="str" cm="1">
        <f t="array" aca="1" ref="C51" ca="1">_FV(A51,"Currency")</f>
        <v>SEK</v>
      </c>
      <c r="E51" s="3"/>
      <c r="F51" s="3">
        <v>0.15</v>
      </c>
      <c r="G51" s="1">
        <v>45716</v>
      </c>
      <c r="H51" s="1" cm="1">
        <f t="array" aca="1" ref="H51" ca="1">INDEX(Prices!A:A, MATCH(TRUE, INDEX(Prices!$2:$1048576, 0, MATCH(AssetsTable[[#This Row],[ID]], Prices!$1:$1, 0)) &lt;&gt; "", 0) + 1)</f>
        <v>45992</v>
      </c>
      <c r="I51" s="6">
        <f ca="1">AssetsTable[[#This Row],[DataStart]]-AssetsTable[[#This Row],[Inception]]</f>
        <v>276</v>
      </c>
      <c r="J51" t="s">
        <v>35</v>
      </c>
      <c r="K51" t="str" cm="1">
        <f t="array" aca="1" ref="K51" ca="1">_FV(AssetsTable[[#This Row],[Asset]],"Name")</f>
        <v>Mandatum Managed Futures H SEK cap perf</v>
      </c>
      <c r="L51" s="6" t="s">
        <v>118</v>
      </c>
      <c r="M51" s="6"/>
    </row>
    <row r="52" spans="1:13" x14ac:dyDescent="0.4">
      <c r="A52" t="e" vm="37">
        <v>#VALUE!</v>
      </c>
      <c r="B52" t="s">
        <v>118</v>
      </c>
      <c r="C52" t="str" cm="1">
        <f t="array" aca="1" ref="C52" ca="1">_FV(A52,"Currency")</f>
        <v>SEK</v>
      </c>
      <c r="D52" t="s">
        <v>61</v>
      </c>
      <c r="E52" s="3" cm="1">
        <f t="array" aca="1" ref="E52" ca="1">_FV(A52,"Expense ratio",TRUE)</f>
        <v>2.1700000000000001E-2</v>
      </c>
      <c r="F52" s="3">
        <v>0.15</v>
      </c>
      <c r="G52" s="1">
        <v>39944</v>
      </c>
      <c r="H52" s="1" cm="1">
        <f t="array" aca="1" ref="H52" ca="1">INDEX(Prices!A:A, MATCH(TRUE, INDEX(Prices!$2:$1048576, 0, MATCH(AssetsTable[[#This Row],[ID]], Prices!$1:$1, 0)) &lt;&gt; "", 0) + 1)</f>
        <v>46022</v>
      </c>
      <c r="I52" s="6">
        <f ca="1">AssetsTable[[#This Row],[DataStart]]-AssetsTable[[#This Row],[Inception]]</f>
        <v>6078</v>
      </c>
      <c r="J52" s="6" t="s">
        <v>64</v>
      </c>
      <c r="K52" s="6" t="str" cm="1">
        <f t="array" aca="1" ref="K52" ca="1">_FV(AssetsTable[[#This Row],[Asset]],"Name")</f>
        <v>Lynx Dynamic</v>
      </c>
      <c r="L52" s="6"/>
      <c r="M52" s="6"/>
    </row>
    <row r="53" spans="1:13" x14ac:dyDescent="0.4">
      <c r="A53" s="2" t="s">
        <v>70</v>
      </c>
      <c r="E53" s="3"/>
      <c r="F53" s="3"/>
      <c r="G53" s="1"/>
      <c r="H53" s="1"/>
      <c r="I53" s="6"/>
      <c r="J53" s="6"/>
      <c r="L53" s="6"/>
      <c r="M53" s="6"/>
    </row>
    <row r="54" spans="1:13" x14ac:dyDescent="0.4">
      <c r="A54" t="e" vm="38">
        <v>#VALUE!</v>
      </c>
      <c r="B54" t="str" cm="1">
        <f t="array" aca="1" ref="B54" ca="1">_FV(AssetsTable[[#This Row],[Asset]],"Ticker symbol",TRUE)</f>
        <v>UBF6</v>
      </c>
      <c r="C54" t="str" cm="1">
        <f t="array" aca="1" ref="C54" ca="1">_FV(A54,"Currency")</f>
        <v>EUR</v>
      </c>
      <c r="D54" t="s">
        <v>61</v>
      </c>
      <c r="E54" s="3" cm="1">
        <f t="array" aca="1" ref="E54" ca="1">_FV(A54,"Expense ratio",TRUE)</f>
        <v>3.4000000000000002E-3</v>
      </c>
      <c r="F54" s="3">
        <v>0.15</v>
      </c>
      <c r="G54" s="1">
        <v>44218</v>
      </c>
      <c r="H54" s="1" cm="1">
        <f t="array" aca="1" ref="H54" ca="1">INDEX(Prices!A:A, MATCH(TRUE, INDEX(Prices!$2:$1048576, 0, MATCH(AssetsTable[[#This Row],[ID]], Prices!$1:$1, 0)) &lt;&gt; "", 0) + 1)</f>
        <v>45992</v>
      </c>
      <c r="I54" s="6">
        <f ca="1">AssetsTable[[#This Row],[DataStart]]-AssetsTable[[#This Row],[Inception]]</f>
        <v>1774</v>
      </c>
      <c r="J54" t="s">
        <v>36</v>
      </c>
      <c r="K54" t="str" cm="1">
        <f t="array" aca="1" ref="K54" ca="1">_FV(AssetsTable[[#This Row],[Asset]],"Name")</f>
        <v>UBSCMCIComCrExAgSFUCITSETFUSDa</v>
      </c>
      <c r="L54" s="6" t="s">
        <v>76</v>
      </c>
      <c r="M54" s="6"/>
    </row>
    <row r="55" spans="1:13" x14ac:dyDescent="0.4">
      <c r="A55" t="e" vm="39">
        <v>#VALUE!</v>
      </c>
      <c r="B55" t="str" cm="1">
        <f t="array" aca="1" ref="B55" ca="1">_FV(AssetsTable[[#This Row],[Asset]],"Ticker symbol",TRUE)</f>
        <v>UEQC</v>
      </c>
      <c r="C55" t="str" cm="1">
        <f t="array" aca="1" ref="C55" ca="1">_FV(A55,"Currency")</f>
        <v>EUR</v>
      </c>
      <c r="D55" t="s">
        <v>61</v>
      </c>
      <c r="E55" s="3" cm="1">
        <f t="array" aca="1" ref="E55" ca="1">_FV(A55,"Expense ratio",TRUE)</f>
        <v>3.4000000000000002E-3</v>
      </c>
      <c r="F55" s="3">
        <v>0.15</v>
      </c>
      <c r="G55" s="1">
        <v>43846</v>
      </c>
      <c r="H55" s="1" cm="1">
        <f t="array" aca="1" ref="H55" ca="1">INDEX(Prices!A:A, MATCH(TRUE, INDEX(Prices!$2:$1048576, 0, MATCH(AssetsTable[[#This Row],[ID]], Prices!$1:$1, 0)) &lt;&gt; "", 0) + 1)</f>
        <v>45992</v>
      </c>
      <c r="I55" s="6">
        <f ca="1">AssetsTable[[#This Row],[DataStart]]-AssetsTable[[#This Row],[Inception]]</f>
        <v>2146</v>
      </c>
      <c r="J55" s="6" t="s">
        <v>77</v>
      </c>
      <c r="K55" s="6" t="str" cm="1">
        <f t="array" aca="1" ref="K55" ca="1">_FV(AssetsTable[[#This Row],[Asset]],"Name")</f>
        <v>UBSCMCICommCarrySFUCITSETFUSDa</v>
      </c>
      <c r="L55" s="6" t="s">
        <v>78</v>
      </c>
      <c r="M55" s="6"/>
    </row>
    <row r="56" spans="1:13" x14ac:dyDescent="0.4">
      <c r="A56" s="2" t="s">
        <v>71</v>
      </c>
      <c r="E56" s="3"/>
      <c r="F56" s="3"/>
      <c r="G56" s="1"/>
      <c r="H56" s="1"/>
      <c r="I56" s="6"/>
      <c r="J56" s="6"/>
      <c r="L56" s="6"/>
      <c r="M56" s="6"/>
    </row>
    <row r="57" spans="1:13" x14ac:dyDescent="0.4">
      <c r="A57" t="e" vm="40">
        <v>#VALUE!</v>
      </c>
      <c r="B57" t="str" cm="1">
        <f t="array" aca="1" ref="B57" ca="1">_FV(AssetsTable[[#This Row],[Asset]],"Ticker symbol",TRUE)</f>
        <v>BHMG</v>
      </c>
      <c r="C57" t="str" cm="1">
        <f t="array" aca="1" ref="C57" ca="1">_FV(A57,"Currency")</f>
        <v>GBp</v>
      </c>
      <c r="E57" s="3"/>
      <c r="F57" s="3">
        <v>0.15</v>
      </c>
      <c r="G57" s="1">
        <v>39155</v>
      </c>
      <c r="H57" s="1" cm="1">
        <f t="array" aca="1" ref="H57" ca="1">INDEX(Prices!A:A, MATCH(TRUE, INDEX(Prices!$2:$1048576, 0, MATCH(AssetsTable[[#This Row],[ID]], Prices!$1:$1, 0)) &lt;&gt; "", 0) + 1)</f>
        <v>45992</v>
      </c>
      <c r="I57" s="6">
        <f ca="1">AssetsTable[[#This Row],[DataStart]]-AssetsTable[[#This Row],[Inception]]</f>
        <v>6837</v>
      </c>
      <c r="J57" t="s">
        <v>33</v>
      </c>
      <c r="K57" t="str" cm="1">
        <f t="array" aca="1" ref="K57" ca="1">_FV(AssetsTable[[#This Row],[Asset]],"Name")</f>
        <v>BH MACRO LIMITED</v>
      </c>
      <c r="L57" s="6"/>
      <c r="M57" s="6"/>
    </row>
  </sheetData>
  <phoneticPr fontId="2" type="noConversion"/>
  <pageMargins left="0.7" right="0.7" top="0.75" bottom="0.75" header="0.3" footer="0.3"/>
  <pageSetup paperSize="9" orientation="portrait" r:id="rId1"/>
  <ignoredErrors>
    <ignoredError sqref="H5 H57 H3:H4 H37 H10:H11 H32:H33 H18:H20 H26 E44:E47 H41:H47 H51 H30 H8 H23:H24 H6:H7 H27:H28 H48:H49"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475AF-0187-4F87-949C-2911DDC9AB5A}">
  <dimension ref="A1:AO129"/>
  <sheetViews>
    <sheetView tabSelected="1" workbookViewId="0">
      <selection activeCell="C13" sqref="C13"/>
    </sheetView>
  </sheetViews>
  <sheetFormatPr defaultRowHeight="14.6" x14ac:dyDescent="0.4"/>
  <cols>
    <col min="1" max="1" width="10.07421875" style="1" bestFit="1" customWidth="1"/>
    <col min="2" max="2" width="9.53515625" bestFit="1" customWidth="1"/>
    <col min="3" max="3" width="8" bestFit="1" customWidth="1"/>
    <col min="4" max="5" width="9.53515625" bestFit="1" customWidth="1"/>
    <col min="6" max="6" width="8" bestFit="1" customWidth="1"/>
  </cols>
  <sheetData>
    <row r="1" spans="1:41" x14ac:dyDescent="0.4">
      <c r="A1" s="1" t="str" cm="1">
        <f t="array" aca="1" ref="A1:AO129" ca="1">_xlfn.LET(
    _xlpm._s, StartDate,
    _xlpm._e, EndDate,
    _xlpm._tList, _xlfn._xlws.FILTER(AssetsTable[Asset], NOT(ISERROR(_xlfn.FIELDVALUE(AssetsTable[Asset], "price")))),
    _xlpm._d, _xlfn.SEQUENCE(_xlpm._e - _xlpm._s + 1, 1, _xlpm._s),
    _xlpm._f, _xlfn.LAMBDA(_xlpm._t, _xlfn.LET(
        _xlpm._hist, _xlfn.STOCKHISTORY(_xlpm._t, _xlpm._s, _xlpm._e, 0, 0),
        IFERROR(_xlfn.XLOOKUP(_xlpm._d, INDEX(_xlpm._hist,,1), INDEX(_xlpm._hist,,2), ""), "")
    )),
    _xlpm._header, _xlfn.HSTACK("Date", TRANSPOSE(_xlfn._xlws.FILTER(AssetsTable[ID], NOT(ISERROR(_xlfn.FIELDVALUE(AssetsTable[Asset], "price")))))),
    _xlpm._body, _xlfn.REDUCE(_xlpm._d, _xlpm._tList, _xlfn.LAMBDA(_xlpm._acc,_xlpm._curr, _xlfn.HSTACK(_xlpm._acc, _xlpm._f(_xlpm._curr)))),
    _xlfn.VSTACK(_xlpm._header, _xlpm._body)
)</f>
        <v>Date</v>
      </c>
      <c r="B1" t="str">
        <f ca="1"/>
        <v>WEBN</v>
      </c>
      <c r="C1" t="str">
        <f ca="1"/>
        <v>EUNL</v>
      </c>
      <c r="D1" t="str">
        <f ca="1"/>
        <v>F_PASI</v>
      </c>
      <c r="E1" t="str">
        <f ca="1"/>
        <v>F_SSA</v>
      </c>
      <c r="F1" t="str">
        <f ca="1"/>
        <v>AVWS</v>
      </c>
      <c r="G1" t="str">
        <f ca="1"/>
        <v>F_ADA</v>
      </c>
      <c r="H1" t="str">
        <f ca="1"/>
        <v>F_SSVFA</v>
      </c>
      <c r="I1" t="str">
        <f ca="1"/>
        <v>XDEM</v>
      </c>
      <c r="J1" t="str">
        <f ca="1"/>
        <v>F_ASE</v>
      </c>
      <c r="K1" t="str">
        <f ca="1"/>
        <v>F_KICA</v>
      </c>
      <c r="L1" t="str">
        <f ca="1"/>
        <v>F_SAI</v>
      </c>
      <c r="M1" t="str">
        <f ca="1"/>
        <v>XDEV</v>
      </c>
      <c r="N1" t="str">
        <f ca="1"/>
        <v>AVEM</v>
      </c>
      <c r="O1" t="str">
        <f ca="1"/>
        <v>F_AEMA</v>
      </c>
      <c r="P1" t="str">
        <f ca="1"/>
        <v>F_SEMAS</v>
      </c>
      <c r="Q1" t="str">
        <f ca="1"/>
        <v>IS04</v>
      </c>
      <c r="R1" t="str">
        <f ca="1"/>
        <v>DTLA</v>
      </c>
      <c r="S1" t="str">
        <f ca="1"/>
        <v>TLT</v>
      </c>
      <c r="T1" t="str">
        <f ca="1"/>
        <v>CEB1</v>
      </c>
      <c r="U1" t="str">
        <f ca="1"/>
        <v>DBXG</v>
      </c>
      <c r="V1" t="str">
        <f ca="1"/>
        <v>F_CIBA</v>
      </c>
      <c r="W1" t="str">
        <f ca="1"/>
        <v>F_ARL</v>
      </c>
      <c r="X1" t="str">
        <f ca="1"/>
        <v>F_CAGCA</v>
      </c>
      <c r="Y1" t="str">
        <f ca="1"/>
        <v>F_SGFAS</v>
      </c>
      <c r="Z1" t="str">
        <f ca="1"/>
        <v>F_SGHYFC</v>
      </c>
      <c r="AA1" t="str">
        <f ca="1"/>
        <v>EN4C</v>
      </c>
      <c r="AB1" t="str">
        <f ca="1"/>
        <v>PDBC</v>
      </c>
      <c r="AC1" t="str">
        <f ca="1"/>
        <v>DBC</v>
      </c>
      <c r="AD1" t="str">
        <f ca="1"/>
        <v>F_SRR</v>
      </c>
      <c r="AE1" t="str">
        <f ca="1"/>
        <v>F_DIGRS</v>
      </c>
      <c r="AF1" t="str">
        <f ca="1"/>
        <v>GLDA</v>
      </c>
      <c r="AG1" t="str">
        <f ca="1"/>
        <v>8PSG</v>
      </c>
      <c r="AH1" t="str">
        <f ca="1"/>
        <v>GZUR</v>
      </c>
      <c r="AI1" t="str">
        <f ca="1"/>
        <v>4GLD</v>
      </c>
      <c r="AJ1" t="str">
        <f ca="1"/>
        <v>F_AFVW</v>
      </c>
      <c r="AK1" t="str">
        <f ca="1"/>
        <v>F_MMFHS</v>
      </c>
      <c r="AL1" t="str">
        <f ca="1"/>
        <v>F_LD</v>
      </c>
      <c r="AM1" t="str">
        <f ca="1"/>
        <v>UBF6</v>
      </c>
      <c r="AN1" t="str">
        <f ca="1"/>
        <v>UEQC</v>
      </c>
      <c r="AO1" t="str">
        <f ca="1"/>
        <v>BHMG</v>
      </c>
    </row>
    <row r="2" spans="1:41" x14ac:dyDescent="0.4">
      <c r="A2" s="1">
        <f ca="1"/>
        <v>45992</v>
      </c>
      <c r="B2" vm="41">
        <f ca="1"/>
        <v>11.118</v>
      </c>
      <c r="C2" vm="42">
        <f ca="1"/>
        <v>111.01</v>
      </c>
      <c r="D2" vm="43">
        <f ca="1"/>
        <v>166.8528</v>
      </c>
      <c r="E2" vm="44">
        <f ca="1"/>
        <v>574.96529999999996</v>
      </c>
      <c r="F2" vm="45">
        <f ca="1"/>
        <v>20.135000000000002</v>
      </c>
      <c r="G2" vm="46">
        <f ca="1"/>
        <v>250.99440000000001</v>
      </c>
      <c r="H2" vm="47">
        <f ca="1"/>
        <v>607.3569</v>
      </c>
      <c r="I2" vm="48">
        <f ca="1"/>
        <v>68.849999999999994</v>
      </c>
      <c r="J2" vm="49">
        <f ca="1"/>
        <v>137.79239999999999</v>
      </c>
      <c r="K2" vm="50">
        <f ca="1"/>
        <v>226.54689999999999</v>
      </c>
      <c r="L2" vm="51">
        <f ca="1"/>
        <v>851.18</v>
      </c>
      <c r="M2" vm="52">
        <f ca="1"/>
        <v>51.14</v>
      </c>
      <c r="N2" vm="53">
        <f ca="1"/>
        <v>22.545000000000002</v>
      </c>
      <c r="O2" vm="54">
        <f ca="1"/>
        <v>149.52000000000001</v>
      </c>
      <c r="P2" vm="55">
        <f ca="1"/>
        <v>226.19499999999999</v>
      </c>
      <c r="Q2" vm="56">
        <f ca="1"/>
        <v>2.8721000000000001</v>
      </c>
      <c r="R2" vm="57">
        <f ca="1"/>
        <v>4.6604999999999999</v>
      </c>
      <c r="S2" vm="58">
        <f ca="1"/>
        <v>88.77</v>
      </c>
      <c r="T2" vm="59">
        <f ca="1"/>
        <v>4.5881999999999996</v>
      </c>
      <c r="U2" vm="60">
        <f ca="1"/>
        <v>251.99</v>
      </c>
      <c r="V2" vm="61">
        <f ca="1"/>
        <v>261.26499999999999</v>
      </c>
      <c r="W2" vm="62">
        <f ca="1"/>
        <v>157.63</v>
      </c>
      <c r="X2" vm="63">
        <f ca="1"/>
        <v>290.14800000000002</v>
      </c>
      <c r="Y2" vm="64">
        <f ca="1"/>
        <v>107.9067</v>
      </c>
      <c r="Z2" vm="65">
        <f ca="1"/>
        <v>212.20699999999999</v>
      </c>
      <c r="AA2" vm="66">
        <f ca="1"/>
        <v>13.09</v>
      </c>
      <c r="AB2" vm="67">
        <f ca="1"/>
        <v>13.76</v>
      </c>
      <c r="AC2" vm="68">
        <f ca="1"/>
        <v>23.12</v>
      </c>
      <c r="AD2" vm="69">
        <f ca="1"/>
        <v>146.69999999999999</v>
      </c>
      <c r="AE2" vm="70">
        <f ca="1"/>
        <v>123.82</v>
      </c>
      <c r="AF2" vm="71">
        <f ca="1"/>
        <v>144.4</v>
      </c>
      <c r="AG2" vm="72">
        <f ca="1"/>
        <v>350.74</v>
      </c>
      <c r="AH2" vm="73">
        <f ca="1"/>
        <v>348.52</v>
      </c>
      <c r="AI2" vm="74">
        <f ca="1"/>
        <v>117.13</v>
      </c>
      <c r="AJ2" vm="75">
        <f ca="1"/>
        <v>116.21</v>
      </c>
      <c r="AK2" vm="76">
        <f ca="1"/>
        <v>1037.0181</v>
      </c>
      <c r="AL2" t="str">
        <f ca="1"/>
        <v/>
      </c>
      <c r="AM2" vm="77">
        <f ca="1"/>
        <v>118.52</v>
      </c>
      <c r="AN2" vm="78">
        <f ca="1"/>
        <v>137.74</v>
      </c>
      <c r="AO2" vm="79">
        <f ca="1"/>
        <v>397</v>
      </c>
    </row>
    <row r="3" spans="1:41" x14ac:dyDescent="0.4">
      <c r="A3" s="1">
        <f ca="1"/>
        <v>45993</v>
      </c>
      <c r="B3" vm="80">
        <f ca="1"/>
        <v>11.132</v>
      </c>
      <c r="C3" vm="81">
        <f ca="1"/>
        <v>111.08499999999999</v>
      </c>
      <c r="D3" vm="82">
        <f ca="1"/>
        <v>166.35890000000001</v>
      </c>
      <c r="E3" vm="83">
        <f ca="1"/>
        <v>573.52710000000002</v>
      </c>
      <c r="F3" vm="84">
        <f ca="1"/>
        <v>20.2</v>
      </c>
      <c r="G3" vm="85">
        <f ca="1"/>
        <v>250.48269999999999</v>
      </c>
      <c r="H3" vm="86">
        <f ca="1"/>
        <v>609.44159999999999</v>
      </c>
      <c r="I3" vm="87">
        <f ca="1"/>
        <v>69.08</v>
      </c>
      <c r="J3" vm="88">
        <f ca="1"/>
        <v>135.92070000000001</v>
      </c>
      <c r="K3" vm="89">
        <f ca="1"/>
        <v>226.40450000000001</v>
      </c>
      <c r="L3" vm="90">
        <f ca="1"/>
        <v>849.65</v>
      </c>
      <c r="M3" vm="91">
        <f ca="1"/>
        <v>51.27</v>
      </c>
      <c r="N3" vm="92">
        <f ca="1"/>
        <v>22.43</v>
      </c>
      <c r="O3" vm="93">
        <f ca="1"/>
        <v>150.37</v>
      </c>
      <c r="P3" vm="94">
        <f ca="1"/>
        <v>227.69479999999999</v>
      </c>
      <c r="Q3" vm="95">
        <f ca="1"/>
        <v>2.8751000000000002</v>
      </c>
      <c r="R3" vm="96">
        <f ca="1"/>
        <v>4.657</v>
      </c>
      <c r="S3" vm="97">
        <f ca="1"/>
        <v>88.81</v>
      </c>
      <c r="T3" vm="98">
        <f ca="1"/>
        <v>4.5865</v>
      </c>
      <c r="U3" vm="99">
        <f ca="1"/>
        <v>251.83</v>
      </c>
      <c r="V3" vm="100">
        <f ca="1"/>
        <v>261.07709999999997</v>
      </c>
      <c r="W3" vm="101">
        <f ca="1"/>
        <v>157.59</v>
      </c>
      <c r="X3" vm="102">
        <f ca="1"/>
        <v>290.14609999999999</v>
      </c>
      <c r="Y3" vm="103">
        <f ca="1"/>
        <v>107.9834</v>
      </c>
      <c r="Z3" vm="104">
        <f ca="1"/>
        <v>212.33099999999999</v>
      </c>
      <c r="AA3" vm="105">
        <f ca="1"/>
        <v>12.965999999999999</v>
      </c>
      <c r="AB3" vm="106">
        <f ca="1"/>
        <v>13.7</v>
      </c>
      <c r="AC3" vm="107">
        <f ca="1"/>
        <v>23.02</v>
      </c>
      <c r="AD3" vm="108">
        <f ca="1"/>
        <v>146.68</v>
      </c>
      <c r="AE3" vm="109">
        <f ca="1"/>
        <v>123.26</v>
      </c>
      <c r="AF3" vm="110">
        <f ca="1"/>
        <v>142.97999999999999</v>
      </c>
      <c r="AG3" vm="111">
        <f ca="1"/>
        <v>347.1</v>
      </c>
      <c r="AH3" vm="112">
        <f ca="1"/>
        <v>345</v>
      </c>
      <c r="AI3" vm="113">
        <f ca="1"/>
        <v>115.92</v>
      </c>
      <c r="AJ3" vm="114">
        <f ca="1"/>
        <v>115.95</v>
      </c>
      <c r="AK3" vm="115">
        <f ca="1"/>
        <v>1036.5517</v>
      </c>
      <c r="AL3" t="str">
        <f ca="1"/>
        <v/>
      </c>
      <c r="AM3" vm="116">
        <f ca="1"/>
        <v>118.28</v>
      </c>
      <c r="AN3" vm="117">
        <f ca="1"/>
        <v>137.41999999999999</v>
      </c>
      <c r="AO3" vm="118">
        <f ca="1"/>
        <v>396.5</v>
      </c>
    </row>
    <row r="4" spans="1:41" x14ac:dyDescent="0.4">
      <c r="A4" s="1">
        <f ca="1"/>
        <v>45994</v>
      </c>
      <c r="B4" vm="119">
        <f ca="1"/>
        <v>11.128</v>
      </c>
      <c r="C4" vm="120">
        <f ca="1"/>
        <v>111.035</v>
      </c>
      <c r="D4" vm="121">
        <f ca="1"/>
        <v>165.8552</v>
      </c>
      <c r="E4" vm="122">
        <f ca="1"/>
        <v>572.65549999999996</v>
      </c>
      <c r="F4" vm="84">
        <f ca="1"/>
        <v>20.2</v>
      </c>
      <c r="G4" vm="123">
        <f ca="1"/>
        <v>249.65940000000001</v>
      </c>
      <c r="H4" vm="124">
        <f ca="1"/>
        <v>606.70090000000005</v>
      </c>
      <c r="I4" vm="125">
        <f ca="1"/>
        <v>68.87</v>
      </c>
      <c r="J4" vm="126">
        <f ca="1"/>
        <v>134.7302</v>
      </c>
      <c r="K4" vm="127">
        <f ca="1"/>
        <v>225.68270000000001</v>
      </c>
      <c r="L4" vm="128">
        <f ca="1"/>
        <v>848.4</v>
      </c>
      <c r="M4" vm="129">
        <f ca="1"/>
        <v>51.35</v>
      </c>
      <c r="N4" vm="130">
        <f ca="1"/>
        <v>22.324999999999999</v>
      </c>
      <c r="O4" vm="131">
        <f ca="1"/>
        <v>150.81</v>
      </c>
      <c r="P4" vm="132">
        <f ca="1"/>
        <v>225.7997</v>
      </c>
      <c r="Q4" vm="133">
        <f ca="1"/>
        <v>2.8618000000000001</v>
      </c>
      <c r="R4" vm="134">
        <f ca="1"/>
        <v>4.6589999999999998</v>
      </c>
      <c r="S4" vm="135">
        <f ca="1"/>
        <v>89.06</v>
      </c>
      <c r="T4" vm="136">
        <f ca="1"/>
        <v>4.5857000000000001</v>
      </c>
      <c r="U4" vm="137">
        <f ca="1"/>
        <v>251.87</v>
      </c>
      <c r="V4" vm="138">
        <f ca="1"/>
        <v>260.97699999999998</v>
      </c>
      <c r="W4" vm="139">
        <f ca="1"/>
        <v>157.6</v>
      </c>
      <c r="X4" vm="140">
        <f ca="1"/>
        <v>289.79989999999998</v>
      </c>
      <c r="Y4" vm="141">
        <f ca="1"/>
        <v>108.0831</v>
      </c>
      <c r="Z4" vm="142">
        <f ca="1"/>
        <v>212.51300000000001</v>
      </c>
      <c r="AA4" vm="143">
        <f ca="1"/>
        <v>12.938000000000001</v>
      </c>
      <c r="AB4" vm="67">
        <f ca="1"/>
        <v>13.76</v>
      </c>
      <c r="AC4" vm="144">
        <f ca="1"/>
        <v>23.13</v>
      </c>
      <c r="AD4" vm="145">
        <f ca="1"/>
        <v>146.69</v>
      </c>
      <c r="AE4" vm="146">
        <f ca="1"/>
        <v>123.79</v>
      </c>
      <c r="AF4" vm="147">
        <f ca="1"/>
        <v>143.54</v>
      </c>
      <c r="AG4" vm="148">
        <f ca="1"/>
        <v>348.58</v>
      </c>
      <c r="AH4" vm="149">
        <f ca="1"/>
        <v>346.52</v>
      </c>
      <c r="AI4" vm="150">
        <f ca="1"/>
        <v>116.46</v>
      </c>
      <c r="AJ4" vm="114">
        <f ca="1"/>
        <v>115.95</v>
      </c>
      <c r="AK4" vm="151">
        <f ca="1"/>
        <v>1033.0255999999999</v>
      </c>
      <c r="AL4" t="str">
        <f ca="1"/>
        <v/>
      </c>
      <c r="AM4" vm="116">
        <f ca="1"/>
        <v>118.28</v>
      </c>
      <c r="AN4" vm="152">
        <f ca="1"/>
        <v>136.96</v>
      </c>
      <c r="AO4" vm="118">
        <f ca="1"/>
        <v>396.5</v>
      </c>
    </row>
    <row r="5" spans="1:41" x14ac:dyDescent="0.4">
      <c r="A5" s="1">
        <f ca="1"/>
        <v>45995</v>
      </c>
      <c r="B5" vm="153">
        <f ca="1"/>
        <v>11.156000000000001</v>
      </c>
      <c r="C5" vm="154">
        <f ca="1"/>
        <v>111.34</v>
      </c>
      <c r="D5" vm="155">
        <f ca="1"/>
        <v>168.1266</v>
      </c>
      <c r="E5" vm="156">
        <f ca="1"/>
        <v>580.44190000000003</v>
      </c>
      <c r="F5" vm="157">
        <f ca="1"/>
        <v>20.324999999999999</v>
      </c>
      <c r="G5" vm="158">
        <f ca="1"/>
        <v>250.5479</v>
      </c>
      <c r="H5" vm="159">
        <f ca="1"/>
        <v>609.15449999999998</v>
      </c>
      <c r="I5" vm="160">
        <f ca="1"/>
        <v>69.61</v>
      </c>
      <c r="J5" vm="161">
        <f ca="1"/>
        <v>135.97190000000001</v>
      </c>
      <c r="K5" vm="162">
        <f ca="1"/>
        <v>229.04759999999999</v>
      </c>
      <c r="L5" vm="163">
        <f ca="1"/>
        <v>860.18</v>
      </c>
      <c r="M5" vm="164">
        <f ca="1"/>
        <v>51.59</v>
      </c>
      <c r="N5" vm="165">
        <f ca="1"/>
        <v>22.375</v>
      </c>
      <c r="O5" vm="166">
        <f ca="1"/>
        <v>150.05000000000001</v>
      </c>
      <c r="P5" vm="167">
        <f ca="1"/>
        <v>227.1121</v>
      </c>
      <c r="Q5" vm="168">
        <f ca="1"/>
        <v>2.8582000000000001</v>
      </c>
      <c r="R5" vm="169">
        <f ca="1"/>
        <v>4.6515000000000004</v>
      </c>
      <c r="S5" vm="170">
        <f ca="1"/>
        <v>88.58</v>
      </c>
      <c r="T5" vm="171">
        <f ca="1"/>
        <v>4.5651000000000002</v>
      </c>
      <c r="U5" vm="172">
        <f ca="1"/>
        <v>250.76</v>
      </c>
      <c r="V5" vm="173">
        <f ca="1"/>
        <v>261.41750000000002</v>
      </c>
      <c r="W5" vm="174">
        <f ca="1"/>
        <v>157.68</v>
      </c>
      <c r="X5" vm="175">
        <f ca="1"/>
        <v>290.22969999999998</v>
      </c>
      <c r="Y5" vm="176">
        <f ca="1"/>
        <v>107.95740000000001</v>
      </c>
      <c r="Z5" vm="177">
        <f ca="1"/>
        <v>212.41800000000001</v>
      </c>
      <c r="AA5" vm="178">
        <f ca="1"/>
        <v>12.98</v>
      </c>
      <c r="AB5" vm="179">
        <f ca="1"/>
        <v>13.8</v>
      </c>
      <c r="AC5" vm="180">
        <f ca="1"/>
        <v>23.19</v>
      </c>
      <c r="AD5" vm="181">
        <f ca="1"/>
        <v>146.51</v>
      </c>
      <c r="AE5" vm="182">
        <f ca="1"/>
        <v>123.97</v>
      </c>
      <c r="AF5" vm="183">
        <f ca="1"/>
        <v>143.35</v>
      </c>
      <c r="AG5" vm="184">
        <f ca="1"/>
        <v>348.08</v>
      </c>
      <c r="AH5" vm="185">
        <f ca="1"/>
        <v>345.86</v>
      </c>
      <c r="AI5" vm="186">
        <f ca="1"/>
        <v>116.28</v>
      </c>
      <c r="AJ5" vm="187">
        <f ca="1"/>
        <v>115.7</v>
      </c>
      <c r="AK5" vm="188">
        <f ca="1"/>
        <v>1034.8195000000001</v>
      </c>
      <c r="AL5" t="str">
        <f ca="1"/>
        <v/>
      </c>
      <c r="AM5" vm="189">
        <f ca="1"/>
        <v>119.12</v>
      </c>
      <c r="AN5" vm="190">
        <f ca="1"/>
        <v>137.88</v>
      </c>
      <c r="AO5" vm="191">
        <f ca="1"/>
        <v>400.5</v>
      </c>
    </row>
    <row r="6" spans="1:41" x14ac:dyDescent="0.4">
      <c r="A6" s="1">
        <f ca="1"/>
        <v>45996</v>
      </c>
      <c r="B6" vm="192">
        <f ca="1"/>
        <v>11.202</v>
      </c>
      <c r="C6" vm="193">
        <f ca="1"/>
        <v>111.72</v>
      </c>
      <c r="D6" vm="194">
        <f ca="1"/>
        <v>168.6576</v>
      </c>
      <c r="E6" vm="195">
        <f ca="1"/>
        <v>582.16020000000003</v>
      </c>
      <c r="F6" vm="196">
        <f ca="1"/>
        <v>20.364999999999998</v>
      </c>
      <c r="G6" vm="197">
        <f ca="1"/>
        <v>251.13669999999999</v>
      </c>
      <c r="H6" vm="198">
        <f ca="1"/>
        <v>614.88139999999999</v>
      </c>
      <c r="I6" vm="199">
        <f ca="1"/>
        <v>69.67</v>
      </c>
      <c r="J6" vm="200">
        <f ca="1"/>
        <v>136.06610000000001</v>
      </c>
      <c r="K6" vm="201">
        <f ca="1"/>
        <v>229.3432</v>
      </c>
      <c r="L6" vm="202">
        <f ca="1"/>
        <v>863.22</v>
      </c>
      <c r="M6" vm="203">
        <f ca="1"/>
        <v>51.75</v>
      </c>
      <c r="N6" vm="204">
        <f ca="1"/>
        <v>22.565000000000001</v>
      </c>
      <c r="O6" vm="205">
        <f ca="1"/>
        <v>152.62</v>
      </c>
      <c r="P6" vm="206">
        <f ca="1"/>
        <v>228.35730000000001</v>
      </c>
      <c r="Q6" vm="207">
        <f ca="1"/>
        <v>2.8443000000000001</v>
      </c>
      <c r="R6" vm="208">
        <f ca="1"/>
        <v>4.6219999999999999</v>
      </c>
      <c r="S6" vm="209">
        <f ca="1"/>
        <v>88.17</v>
      </c>
      <c r="T6" vm="210">
        <f ca="1"/>
        <v>4.5458999999999996</v>
      </c>
      <c r="U6" vm="211">
        <f ca="1"/>
        <v>250.03</v>
      </c>
      <c r="V6" vm="212">
        <f ca="1"/>
        <v>260.36739999999998</v>
      </c>
      <c r="W6" vm="213">
        <f ca="1"/>
        <v>157.54</v>
      </c>
      <c r="X6" vm="214">
        <f ca="1"/>
        <v>289.41489999999999</v>
      </c>
      <c r="Y6" vm="215">
        <f ca="1"/>
        <v>107.8492</v>
      </c>
      <c r="Z6" vm="216">
        <f ca="1"/>
        <v>212.416</v>
      </c>
      <c r="AA6" vm="217">
        <f ca="1"/>
        <v>13.032</v>
      </c>
      <c r="AB6" vm="218">
        <f ca="1"/>
        <v>13.89</v>
      </c>
      <c r="AC6" vm="219">
        <f ca="1"/>
        <v>23.33</v>
      </c>
      <c r="AD6" vm="220">
        <f ca="1"/>
        <v>146.27000000000001</v>
      </c>
      <c r="AE6" vm="221">
        <f ca="1"/>
        <v>124</v>
      </c>
      <c r="AF6" vm="222">
        <f ca="1"/>
        <v>143.65</v>
      </c>
      <c r="AG6" vm="223">
        <f ca="1"/>
        <v>348.82</v>
      </c>
      <c r="AH6" vm="224">
        <f ca="1"/>
        <v>346.62</v>
      </c>
      <c r="AI6" vm="225">
        <f ca="1"/>
        <v>116.48</v>
      </c>
      <c r="AJ6" vm="226">
        <f ca="1"/>
        <v>115.65</v>
      </c>
      <c r="AK6" vm="227">
        <f ca="1"/>
        <v>1034.8196</v>
      </c>
      <c r="AL6" t="str">
        <f ca="1"/>
        <v/>
      </c>
      <c r="AM6" vm="113">
        <f ca="1"/>
        <v>115.92</v>
      </c>
      <c r="AN6" vm="228">
        <f ca="1"/>
        <v>135.52000000000001</v>
      </c>
      <c r="AO6" vm="229">
        <f ca="1"/>
        <v>401</v>
      </c>
    </row>
    <row r="7" spans="1:41" x14ac:dyDescent="0.4">
      <c r="A7" s="1">
        <f ca="1"/>
        <v>45997</v>
      </c>
      <c r="B7" t="str">
        <f ca="1"/>
        <v/>
      </c>
      <c r="C7" t="str">
        <f ca="1"/>
        <v/>
      </c>
      <c r="D7" t="str">
        <f ca="1"/>
        <v/>
      </c>
      <c r="E7" t="str">
        <f ca="1"/>
        <v/>
      </c>
      <c r="F7" t="str">
        <f ca="1"/>
        <v/>
      </c>
      <c r="G7" t="str">
        <f ca="1"/>
        <v/>
      </c>
      <c r="H7" t="str">
        <f ca="1"/>
        <v/>
      </c>
      <c r="I7" t="str">
        <f ca="1"/>
        <v/>
      </c>
      <c r="J7" t="str">
        <f ca="1"/>
        <v/>
      </c>
      <c r="K7" t="str">
        <f ca="1"/>
        <v/>
      </c>
      <c r="L7" t="str">
        <f ca="1"/>
        <v/>
      </c>
      <c r="M7" t="str">
        <f ca="1"/>
        <v/>
      </c>
      <c r="N7" t="str">
        <f ca="1"/>
        <v/>
      </c>
      <c r="O7" t="str">
        <f ca="1"/>
        <v/>
      </c>
      <c r="P7" t="str">
        <f ca="1"/>
        <v/>
      </c>
      <c r="Q7" t="str">
        <f ca="1"/>
        <v/>
      </c>
      <c r="R7" t="str">
        <f ca="1"/>
        <v/>
      </c>
      <c r="S7" t="str">
        <f ca="1"/>
        <v/>
      </c>
      <c r="T7" t="str">
        <f ca="1"/>
        <v/>
      </c>
      <c r="U7" t="str">
        <f ca="1"/>
        <v/>
      </c>
      <c r="V7" t="str">
        <f ca="1"/>
        <v/>
      </c>
      <c r="W7" t="str">
        <f ca="1"/>
        <v/>
      </c>
      <c r="X7" t="str">
        <f ca="1"/>
        <v/>
      </c>
      <c r="Y7" t="str">
        <f ca="1"/>
        <v/>
      </c>
      <c r="Z7" t="str">
        <f ca="1"/>
        <v/>
      </c>
      <c r="AA7" t="str">
        <f ca="1"/>
        <v/>
      </c>
      <c r="AB7" t="str">
        <f ca="1"/>
        <v/>
      </c>
      <c r="AC7" t="str">
        <f ca="1"/>
        <v/>
      </c>
      <c r="AD7" t="str">
        <f ca="1"/>
        <v/>
      </c>
      <c r="AE7" t="str">
        <f ca="1"/>
        <v/>
      </c>
      <c r="AF7" t="str">
        <f ca="1"/>
        <v/>
      </c>
      <c r="AG7" t="str">
        <f ca="1"/>
        <v/>
      </c>
      <c r="AH7" t="str">
        <f ca="1"/>
        <v/>
      </c>
      <c r="AI7" t="str">
        <f ca="1"/>
        <v/>
      </c>
      <c r="AJ7" t="str">
        <f ca="1"/>
        <v/>
      </c>
      <c r="AK7" t="str">
        <f ca="1"/>
        <v/>
      </c>
      <c r="AL7" t="str">
        <f ca="1"/>
        <v/>
      </c>
      <c r="AM7" t="str">
        <f ca="1"/>
        <v/>
      </c>
      <c r="AN7" t="str">
        <f ca="1"/>
        <v/>
      </c>
      <c r="AO7" t="str">
        <f ca="1"/>
        <v/>
      </c>
    </row>
    <row r="8" spans="1:41" x14ac:dyDescent="0.4">
      <c r="A8" s="1">
        <f ca="1"/>
        <v>45998</v>
      </c>
      <c r="B8" t="str">
        <f ca="1"/>
        <v/>
      </c>
      <c r="C8" t="str">
        <f ca="1"/>
        <v/>
      </c>
      <c r="D8" t="str">
        <f ca="1"/>
        <v/>
      </c>
      <c r="E8" t="str">
        <f ca="1"/>
        <v/>
      </c>
      <c r="F8" t="str">
        <f ca="1"/>
        <v/>
      </c>
      <c r="G8" t="str">
        <f ca="1"/>
        <v/>
      </c>
      <c r="H8" t="str">
        <f ca="1"/>
        <v/>
      </c>
      <c r="I8" t="str">
        <f ca="1"/>
        <v/>
      </c>
      <c r="J8" t="str">
        <f ca="1"/>
        <v/>
      </c>
      <c r="K8" t="str">
        <f ca="1"/>
        <v/>
      </c>
      <c r="L8" t="str">
        <f ca="1"/>
        <v/>
      </c>
      <c r="M8" t="str">
        <f ca="1"/>
        <v/>
      </c>
      <c r="N8" t="str">
        <f ca="1"/>
        <v/>
      </c>
      <c r="O8" t="str">
        <f ca="1"/>
        <v/>
      </c>
      <c r="P8" t="str">
        <f ca="1"/>
        <v/>
      </c>
      <c r="Q8" t="str">
        <f ca="1"/>
        <v/>
      </c>
      <c r="R8" t="str">
        <f ca="1"/>
        <v/>
      </c>
      <c r="S8" t="str">
        <f ca="1"/>
        <v/>
      </c>
      <c r="T8" t="str">
        <f ca="1"/>
        <v/>
      </c>
      <c r="U8" t="str">
        <f ca="1"/>
        <v/>
      </c>
      <c r="V8" t="str">
        <f ca="1"/>
        <v/>
      </c>
      <c r="W8" t="str">
        <f ca="1"/>
        <v/>
      </c>
      <c r="X8" t="str">
        <f ca="1"/>
        <v/>
      </c>
      <c r="Y8" t="str">
        <f ca="1"/>
        <v/>
      </c>
      <c r="Z8" t="str">
        <f ca="1"/>
        <v/>
      </c>
      <c r="AA8" t="str">
        <f ca="1"/>
        <v/>
      </c>
      <c r="AB8" t="str">
        <f ca="1"/>
        <v/>
      </c>
      <c r="AC8" t="str">
        <f ca="1"/>
        <v/>
      </c>
      <c r="AD8" t="str">
        <f ca="1"/>
        <v/>
      </c>
      <c r="AE8" t="str">
        <f ca="1"/>
        <v/>
      </c>
      <c r="AF8" t="str">
        <f ca="1"/>
        <v/>
      </c>
      <c r="AG8" t="str">
        <f ca="1"/>
        <v/>
      </c>
      <c r="AH8" t="str">
        <f ca="1"/>
        <v/>
      </c>
      <c r="AI8" t="str">
        <f ca="1"/>
        <v/>
      </c>
      <c r="AJ8" t="str">
        <f ca="1"/>
        <v/>
      </c>
      <c r="AK8" t="str">
        <f ca="1"/>
        <v/>
      </c>
      <c r="AL8" t="str">
        <f ca="1"/>
        <v/>
      </c>
      <c r="AM8" t="str">
        <f ca="1"/>
        <v/>
      </c>
      <c r="AN8" t="str">
        <f ca="1"/>
        <v/>
      </c>
      <c r="AO8" t="str">
        <f ca="1"/>
        <v/>
      </c>
    </row>
    <row r="9" spans="1:41" x14ac:dyDescent="0.4">
      <c r="A9" s="1">
        <f ca="1"/>
        <v>45999</v>
      </c>
      <c r="B9" vm="230">
        <f ca="1"/>
        <v>11.18</v>
      </c>
      <c r="C9" vm="231">
        <f ca="1"/>
        <v>111.52500000000001</v>
      </c>
      <c r="D9" vm="232">
        <f ca="1"/>
        <v>168.12119999999999</v>
      </c>
      <c r="E9" vm="233">
        <f ca="1"/>
        <v>580.56110000000001</v>
      </c>
      <c r="F9" vm="234">
        <f ca="1"/>
        <v>20.574999999999999</v>
      </c>
      <c r="G9" vm="235">
        <f ca="1"/>
        <v>250.0247</v>
      </c>
      <c r="H9" vm="236">
        <f ca="1"/>
        <v>611.61900000000003</v>
      </c>
      <c r="I9" vm="237">
        <f ca="1"/>
        <v>70.290000000000006</v>
      </c>
      <c r="J9" vm="238">
        <f ca="1"/>
        <v>134.82400000000001</v>
      </c>
      <c r="K9" vm="239">
        <f ca="1"/>
        <v>227.95779999999999</v>
      </c>
      <c r="L9" vm="240">
        <f ca="1"/>
        <v>857.59</v>
      </c>
      <c r="M9" vm="203">
        <f ca="1"/>
        <v>51.75</v>
      </c>
      <c r="N9" vm="241">
        <f ca="1"/>
        <v>22.465</v>
      </c>
      <c r="O9" vm="242">
        <f ca="1"/>
        <v>153.08000000000001</v>
      </c>
      <c r="P9" vm="243">
        <f ca="1"/>
        <v>228.6482</v>
      </c>
      <c r="Q9" vm="244">
        <f ca="1"/>
        <v>2.8365999999999998</v>
      </c>
      <c r="R9" vm="245">
        <f ca="1"/>
        <v>4.5999999999999996</v>
      </c>
      <c r="S9" vm="246">
        <f ca="1"/>
        <v>87.88</v>
      </c>
      <c r="T9" vm="247">
        <f ca="1"/>
        <v>4.5229999999999997</v>
      </c>
      <c r="U9" vm="248">
        <f ca="1"/>
        <v>248.8</v>
      </c>
      <c r="V9" vm="249">
        <f ca="1"/>
        <v>259.31909999999999</v>
      </c>
      <c r="W9" vm="250">
        <f ca="1"/>
        <v>157.37</v>
      </c>
      <c r="X9" vm="251">
        <f ca="1"/>
        <v>288.23</v>
      </c>
      <c r="Y9" vm="252">
        <f ca="1"/>
        <v>107.6236</v>
      </c>
      <c r="Z9" vm="253">
        <f ca="1"/>
        <v>212.209</v>
      </c>
      <c r="AA9" vm="254">
        <f ca="1"/>
        <v>12.936</v>
      </c>
      <c r="AB9" vm="255">
        <f ca="1"/>
        <v>13.72</v>
      </c>
      <c r="AC9" vm="256">
        <f ca="1"/>
        <v>23.04</v>
      </c>
      <c r="AD9" vm="257">
        <f ca="1"/>
        <v>146.07</v>
      </c>
      <c r="AE9" vm="258">
        <f ca="1"/>
        <v>123.49</v>
      </c>
      <c r="AF9" vm="259">
        <f ca="1"/>
        <v>143.1</v>
      </c>
      <c r="AG9" vm="260">
        <f ca="1"/>
        <v>347.42</v>
      </c>
      <c r="AH9" vm="261">
        <f ca="1"/>
        <v>345.24</v>
      </c>
      <c r="AI9" vm="262">
        <f ca="1"/>
        <v>116.03</v>
      </c>
      <c r="AJ9" vm="263">
        <f ca="1"/>
        <v>115.74</v>
      </c>
      <c r="AK9" vm="264">
        <f ca="1"/>
        <v>1032.8375000000001</v>
      </c>
      <c r="AL9" t="str">
        <f ca="1"/>
        <v/>
      </c>
      <c r="AM9" vm="265">
        <f ca="1"/>
        <v>118.64</v>
      </c>
      <c r="AN9" vm="266">
        <f ca="1"/>
        <v>137.52000000000001</v>
      </c>
      <c r="AO9" vm="267">
        <f ca="1"/>
        <v>401.5</v>
      </c>
    </row>
    <row r="10" spans="1:41" x14ac:dyDescent="0.4">
      <c r="A10" s="1">
        <f ca="1"/>
        <v>46000</v>
      </c>
      <c r="B10" vm="268">
        <f ca="1"/>
        <v>11.192</v>
      </c>
      <c r="C10" vm="269">
        <f ca="1"/>
        <v>111.655</v>
      </c>
      <c r="D10" vm="270">
        <f ca="1"/>
        <v>167.06809999999999</v>
      </c>
      <c r="E10" vm="271">
        <f ca="1"/>
        <v>576.44380000000001</v>
      </c>
      <c r="F10" vm="272">
        <f ca="1"/>
        <v>20.565000000000001</v>
      </c>
      <c r="G10" vm="273">
        <f ca="1"/>
        <v>249.60079999999999</v>
      </c>
      <c r="H10" vm="274">
        <f ca="1"/>
        <v>606.63739999999996</v>
      </c>
      <c r="I10" vm="275">
        <f ca="1"/>
        <v>70.63</v>
      </c>
      <c r="J10" vm="276">
        <f ca="1"/>
        <v>134.4547</v>
      </c>
      <c r="K10" vm="277">
        <f ca="1"/>
        <v>226.11840000000001</v>
      </c>
      <c r="L10" vm="278">
        <f ca="1"/>
        <v>851.13</v>
      </c>
      <c r="M10" vm="279">
        <f ca="1"/>
        <v>51.97</v>
      </c>
      <c r="N10" vm="280">
        <f ca="1"/>
        <v>22.37</v>
      </c>
      <c r="O10" vm="281">
        <f ca="1"/>
        <v>151.26</v>
      </c>
      <c r="P10" vm="282">
        <f ca="1"/>
        <v>225.9631</v>
      </c>
      <c r="Q10" vm="283">
        <f ca="1"/>
        <v>2.8447</v>
      </c>
      <c r="R10" vm="284">
        <f ca="1"/>
        <v>4.6210000000000004</v>
      </c>
      <c r="S10" vm="285">
        <f ca="1"/>
        <v>87.97</v>
      </c>
      <c r="T10" vm="286">
        <f ca="1"/>
        <v>4.5366999999999997</v>
      </c>
      <c r="U10" vm="287">
        <f ca="1"/>
        <v>249.57</v>
      </c>
      <c r="V10" vm="288">
        <f ca="1"/>
        <v>258.9853</v>
      </c>
      <c r="W10" vm="289">
        <f ca="1"/>
        <v>157.4</v>
      </c>
      <c r="X10" vm="290">
        <f ca="1"/>
        <v>287.73790000000002</v>
      </c>
      <c r="Y10" vm="291">
        <f ca="1"/>
        <v>107.61</v>
      </c>
      <c r="Z10" vm="292">
        <f ca="1"/>
        <v>212.05699999999999</v>
      </c>
      <c r="AA10" vm="293">
        <f ca="1"/>
        <v>12.858000000000001</v>
      </c>
      <c r="AB10" vm="294">
        <f ca="1"/>
        <v>13.68</v>
      </c>
      <c r="AC10" vm="295">
        <f ca="1"/>
        <v>22.99</v>
      </c>
      <c r="AD10" vm="296">
        <f ca="1"/>
        <v>146.11000000000001</v>
      </c>
      <c r="AE10" vm="297">
        <f ca="1"/>
        <v>123.48</v>
      </c>
      <c r="AF10" vm="298">
        <f ca="1"/>
        <v>143.59</v>
      </c>
      <c r="AG10" vm="299">
        <f ca="1"/>
        <v>348.62</v>
      </c>
      <c r="AH10" vm="300">
        <f ca="1"/>
        <v>346.6</v>
      </c>
      <c r="AI10" vm="301">
        <f ca="1"/>
        <v>116.42</v>
      </c>
      <c r="AJ10" vm="302">
        <f ca="1"/>
        <v>115.75</v>
      </c>
      <c r="AK10" vm="303">
        <f ca="1"/>
        <v>1032.5379</v>
      </c>
      <c r="AL10" t="str">
        <f ca="1"/>
        <v/>
      </c>
      <c r="AM10" vm="304">
        <f ca="1"/>
        <v>119.84</v>
      </c>
      <c r="AN10" vm="305">
        <f ca="1"/>
        <v>138.28</v>
      </c>
      <c r="AO10" vm="267">
        <f ca="1"/>
        <v>401.5</v>
      </c>
    </row>
    <row r="11" spans="1:41" x14ac:dyDescent="0.4">
      <c r="A11" s="1">
        <f ca="1"/>
        <v>46001</v>
      </c>
      <c r="B11" vm="306">
        <f ca="1"/>
        <v>11.172000000000001</v>
      </c>
      <c r="C11" vm="307">
        <f ca="1"/>
        <v>111.39</v>
      </c>
      <c r="D11" vm="308">
        <f ca="1"/>
        <v>167.1397</v>
      </c>
      <c r="E11" vm="309">
        <f ca="1"/>
        <v>576.94820000000004</v>
      </c>
      <c r="F11" vm="310">
        <f ca="1"/>
        <v>20.38</v>
      </c>
      <c r="G11" vm="311">
        <f ca="1"/>
        <v>249.3749</v>
      </c>
      <c r="H11" vm="312">
        <f ca="1"/>
        <v>609.95140000000004</v>
      </c>
      <c r="I11" vm="313">
        <f ca="1"/>
        <v>70.5</v>
      </c>
      <c r="J11" vm="314">
        <f ca="1"/>
        <v>134.76560000000001</v>
      </c>
      <c r="K11" vm="315">
        <f ca="1"/>
        <v>226.5949</v>
      </c>
      <c r="L11" vm="316">
        <f ca="1"/>
        <v>854.37</v>
      </c>
      <c r="M11" vm="317">
        <f ca="1"/>
        <v>52.12</v>
      </c>
      <c r="N11" vm="241">
        <f ca="1"/>
        <v>22.465</v>
      </c>
      <c r="O11" vm="318">
        <f ca="1"/>
        <v>150.94999999999999</v>
      </c>
      <c r="P11" vm="319">
        <f ca="1"/>
        <v>225.52809999999999</v>
      </c>
      <c r="Q11" vm="320">
        <f ca="1"/>
        <v>2.8529</v>
      </c>
      <c r="R11" vm="321">
        <f ca="1"/>
        <v>4.6304999999999996</v>
      </c>
      <c r="S11" vm="322">
        <f ca="1"/>
        <v>88.31</v>
      </c>
      <c r="T11" vm="323">
        <f ca="1"/>
        <v>4.5358000000000001</v>
      </c>
      <c r="U11" vm="324">
        <f ca="1"/>
        <v>249.63</v>
      </c>
      <c r="V11" vm="325">
        <f ca="1"/>
        <v>258.24720000000002</v>
      </c>
      <c r="W11" vm="326">
        <f ca="1"/>
        <v>157.22999999999999</v>
      </c>
      <c r="X11" vm="327">
        <f ca="1"/>
        <v>287.02269999999999</v>
      </c>
      <c r="Y11" vm="328">
        <f ca="1"/>
        <v>107.6455</v>
      </c>
      <c r="Z11" vm="329">
        <f ca="1"/>
        <v>212.19499999999999</v>
      </c>
      <c r="AA11" vm="330">
        <f ca="1"/>
        <v>12.837999999999999</v>
      </c>
      <c r="AB11" vm="331">
        <f ca="1"/>
        <v>13.78</v>
      </c>
      <c r="AC11" vm="144">
        <f ca="1"/>
        <v>23.13</v>
      </c>
      <c r="AD11" vm="332">
        <f ca="1"/>
        <v>145.87</v>
      </c>
      <c r="AE11" vm="333">
        <f ca="1"/>
        <v>123.16</v>
      </c>
      <c r="AF11" vm="334">
        <f ca="1"/>
        <v>142.97</v>
      </c>
      <c r="AG11" vm="335">
        <f ca="1"/>
        <v>347.12</v>
      </c>
      <c r="AH11" vm="336">
        <f ca="1"/>
        <v>345.02</v>
      </c>
      <c r="AI11" vm="337">
        <f ca="1"/>
        <v>115.96</v>
      </c>
      <c r="AJ11" vm="338">
        <f ca="1"/>
        <v>115.54</v>
      </c>
      <c r="AK11" vm="339">
        <f ca="1"/>
        <v>1031.9774</v>
      </c>
      <c r="AL11" t="str">
        <f ca="1"/>
        <v/>
      </c>
      <c r="AM11" vm="340">
        <f ca="1"/>
        <v>121.42</v>
      </c>
      <c r="AN11" vm="341">
        <f ca="1"/>
        <v>139.24</v>
      </c>
      <c r="AO11" vm="191">
        <f ca="1"/>
        <v>400.5</v>
      </c>
    </row>
    <row r="12" spans="1:41" x14ac:dyDescent="0.4">
      <c r="A12" s="1">
        <f ca="1"/>
        <v>46002</v>
      </c>
      <c r="B12" vm="342">
        <f ca="1"/>
        <v>11.122</v>
      </c>
      <c r="C12" vm="343">
        <f ca="1"/>
        <v>110.98</v>
      </c>
      <c r="D12" vm="344">
        <f ca="1"/>
        <v>168.06010000000001</v>
      </c>
      <c r="E12" vm="345">
        <f ca="1"/>
        <v>580.55460000000005</v>
      </c>
      <c r="F12" vm="346">
        <f ca="1"/>
        <v>20.61</v>
      </c>
      <c r="G12" vm="347">
        <f ca="1"/>
        <v>252.11160000000001</v>
      </c>
      <c r="H12" vm="348">
        <f ca="1"/>
        <v>616.16549999999995</v>
      </c>
      <c r="I12" vm="349">
        <f ca="1"/>
        <v>69.91</v>
      </c>
      <c r="J12" vm="350">
        <f ca="1"/>
        <v>136.12129999999999</v>
      </c>
      <c r="K12" vm="351">
        <f ca="1"/>
        <v>227.91849999999999</v>
      </c>
      <c r="L12" vm="352">
        <f ca="1"/>
        <v>857.03</v>
      </c>
      <c r="M12" vm="353">
        <f ca="1"/>
        <v>52.25</v>
      </c>
      <c r="N12" vm="354">
        <f ca="1"/>
        <v>22.385000000000002</v>
      </c>
      <c r="O12" vm="355">
        <f ca="1"/>
        <v>147.77000000000001</v>
      </c>
      <c r="P12" vm="356">
        <f ca="1"/>
        <v>223.10249999999999</v>
      </c>
      <c r="Q12" vm="357">
        <f ca="1"/>
        <v>2.7696000000000001</v>
      </c>
      <c r="R12" vm="358">
        <f ca="1"/>
        <v>4.6449999999999996</v>
      </c>
      <c r="S12" vm="359">
        <f ca="1"/>
        <v>88.19</v>
      </c>
      <c r="T12" vm="360">
        <f ca="1"/>
        <v>4.5419</v>
      </c>
      <c r="U12" vm="361">
        <f ca="1"/>
        <v>250.01</v>
      </c>
      <c r="V12" vm="362">
        <f ca="1"/>
        <v>259.57859999999999</v>
      </c>
      <c r="W12" vm="363">
        <f ca="1"/>
        <v>157.44999999999999</v>
      </c>
      <c r="X12" vm="364">
        <f ca="1"/>
        <v>288.6309</v>
      </c>
      <c r="Y12" vm="365">
        <f ca="1"/>
        <v>107.73220000000001</v>
      </c>
      <c r="Z12" vm="366">
        <f ca="1"/>
        <v>212.28399999999999</v>
      </c>
      <c r="AA12" vm="367">
        <f ca="1"/>
        <v>12.77</v>
      </c>
      <c r="AB12" vm="368">
        <f ca="1"/>
        <v>13.77</v>
      </c>
      <c r="AC12" vm="369">
        <f ca="1"/>
        <v>23.11</v>
      </c>
      <c r="AD12" vm="370">
        <f ca="1"/>
        <v>146.16</v>
      </c>
      <c r="AE12" vm="371">
        <f ca="1"/>
        <v>123.66</v>
      </c>
      <c r="AF12" vm="372">
        <f ca="1"/>
        <v>143.69</v>
      </c>
      <c r="AG12" vm="373">
        <f ca="1"/>
        <v>348.9</v>
      </c>
      <c r="AH12" vm="374">
        <f ca="1"/>
        <v>346.7</v>
      </c>
      <c r="AI12" vm="375">
        <f ca="1"/>
        <v>116.56</v>
      </c>
      <c r="AJ12" vm="376">
        <f ca="1"/>
        <v>115.34</v>
      </c>
      <c r="AK12" vm="377">
        <f ca="1"/>
        <v>1032.1856</v>
      </c>
      <c r="AL12" t="str">
        <f ca="1"/>
        <v/>
      </c>
      <c r="AM12" vm="378">
        <f ca="1"/>
        <v>121.98</v>
      </c>
      <c r="AN12" vm="379">
        <f ca="1"/>
        <v>138.84</v>
      </c>
      <c r="AO12" vm="380">
        <f ca="1"/>
        <v>402.5</v>
      </c>
    </row>
    <row r="13" spans="1:41" x14ac:dyDescent="0.4">
      <c r="A13" s="1">
        <f ca="1"/>
        <v>46003</v>
      </c>
      <c r="B13" vm="381">
        <f ca="1"/>
        <v>11.055999999999999</v>
      </c>
      <c r="C13" vm="382">
        <f ca="1"/>
        <v>110.31</v>
      </c>
      <c r="D13" vm="383">
        <f ca="1"/>
        <v>167.91909999999999</v>
      </c>
      <c r="E13" vm="384">
        <f ca="1"/>
        <v>579.34960000000001</v>
      </c>
      <c r="F13" vm="385">
        <f ca="1"/>
        <v>20.635000000000002</v>
      </c>
      <c r="G13" vm="386">
        <f ca="1"/>
        <v>251.2216</v>
      </c>
      <c r="H13" vm="387">
        <f ca="1"/>
        <v>619.56989999999996</v>
      </c>
      <c r="I13" vm="388">
        <f ca="1"/>
        <v>68.709999999999994</v>
      </c>
      <c r="J13" vm="389">
        <f ca="1"/>
        <v>136.7989</v>
      </c>
      <c r="K13" vm="390">
        <f ca="1"/>
        <v>228.03880000000001</v>
      </c>
      <c r="L13" vm="391">
        <f ca="1"/>
        <v>858.53</v>
      </c>
      <c r="M13" vm="392">
        <f ca="1"/>
        <v>51.95</v>
      </c>
      <c r="N13" vm="393">
        <f ca="1"/>
        <v>22.215</v>
      </c>
      <c r="O13" vm="394">
        <f ca="1"/>
        <v>151.38999999999999</v>
      </c>
      <c r="P13" vm="395">
        <f ca="1"/>
        <v>226.1534</v>
      </c>
      <c r="Q13" vm="396">
        <f ca="1"/>
        <v>2.7309999999999999</v>
      </c>
      <c r="R13" vm="397">
        <f ca="1"/>
        <v>4.5720000000000001</v>
      </c>
      <c r="S13" vm="398">
        <f ca="1"/>
        <v>87.34</v>
      </c>
      <c r="T13" vm="399">
        <f ca="1"/>
        <v>4.5159000000000002</v>
      </c>
      <c r="U13" vm="400">
        <f ca="1"/>
        <v>248.51</v>
      </c>
      <c r="V13" vm="401">
        <f ca="1"/>
        <v>259.57769999999999</v>
      </c>
      <c r="W13" vm="363">
        <f ca="1"/>
        <v>157.44999999999999</v>
      </c>
      <c r="X13" vm="402">
        <f ca="1"/>
        <v>288.82170000000002</v>
      </c>
      <c r="Y13" vm="403">
        <f ca="1"/>
        <v>107.6159</v>
      </c>
      <c r="Z13" vm="404">
        <f ca="1"/>
        <v>212.16800000000001</v>
      </c>
      <c r="AA13" vm="405">
        <f ca="1"/>
        <v>12.704000000000001</v>
      </c>
      <c r="AB13" vm="406">
        <f ca="1"/>
        <v>13.63</v>
      </c>
      <c r="AC13" vm="407">
        <f ca="1"/>
        <v>22.92</v>
      </c>
      <c r="AD13" vm="408">
        <f ca="1"/>
        <v>146.09</v>
      </c>
      <c r="AE13" vm="409">
        <f ca="1"/>
        <v>123.46</v>
      </c>
      <c r="AF13" vm="410">
        <f ca="1"/>
        <v>144.57</v>
      </c>
      <c r="AG13" vm="411">
        <f ca="1"/>
        <v>351.12</v>
      </c>
      <c r="AH13" vm="412">
        <f ca="1"/>
        <v>348.86</v>
      </c>
      <c r="AI13" vm="413">
        <f ca="1"/>
        <v>117.29</v>
      </c>
      <c r="AJ13" vm="414">
        <f ca="1"/>
        <v>115.56</v>
      </c>
      <c r="AK13" vm="415">
        <f ca="1"/>
        <v>1028.7147</v>
      </c>
      <c r="AL13" t="str">
        <f ca="1"/>
        <v/>
      </c>
      <c r="AM13" vm="416">
        <f ca="1"/>
        <v>122.64</v>
      </c>
      <c r="AN13" vm="417">
        <f ca="1"/>
        <v>139.38</v>
      </c>
      <c r="AO13" vm="418">
        <f ca="1"/>
        <v>403</v>
      </c>
    </row>
    <row r="14" spans="1:41" x14ac:dyDescent="0.4">
      <c r="A14" s="1">
        <f ca="1"/>
        <v>46004</v>
      </c>
      <c r="B14" t="str">
        <f ca="1"/>
        <v/>
      </c>
      <c r="C14" t="str">
        <f ca="1"/>
        <v/>
      </c>
      <c r="D14" t="str">
        <f ca="1"/>
        <v/>
      </c>
      <c r="E14" t="str">
        <f ca="1"/>
        <v/>
      </c>
      <c r="F14" t="str">
        <f ca="1"/>
        <v/>
      </c>
      <c r="G14" t="str">
        <f ca="1"/>
        <v/>
      </c>
      <c r="H14" t="str">
        <f ca="1"/>
        <v/>
      </c>
      <c r="I14" t="str">
        <f ca="1"/>
        <v/>
      </c>
      <c r="J14" t="str">
        <f ca="1"/>
        <v/>
      </c>
      <c r="K14" t="str">
        <f ca="1"/>
        <v/>
      </c>
      <c r="L14" t="str">
        <f ca="1"/>
        <v/>
      </c>
      <c r="M14" t="str">
        <f ca="1"/>
        <v/>
      </c>
      <c r="N14" t="str">
        <f ca="1"/>
        <v/>
      </c>
      <c r="O14" t="str">
        <f ca="1"/>
        <v/>
      </c>
      <c r="P14" t="str">
        <f ca="1"/>
        <v/>
      </c>
      <c r="Q14" t="str">
        <f ca="1"/>
        <v/>
      </c>
      <c r="R14" t="str">
        <f ca="1"/>
        <v/>
      </c>
      <c r="S14" t="str">
        <f ca="1"/>
        <v/>
      </c>
      <c r="T14" t="str">
        <f ca="1"/>
        <v/>
      </c>
      <c r="U14" t="str">
        <f ca="1"/>
        <v/>
      </c>
      <c r="V14" t="str">
        <f ca="1"/>
        <v/>
      </c>
      <c r="W14" t="str">
        <f ca="1"/>
        <v/>
      </c>
      <c r="X14" t="str">
        <f ca="1"/>
        <v/>
      </c>
      <c r="Y14" t="str">
        <f ca="1"/>
        <v/>
      </c>
      <c r="Z14" t="str">
        <f ca="1"/>
        <v/>
      </c>
      <c r="AA14" t="str">
        <f ca="1"/>
        <v/>
      </c>
      <c r="AB14" t="str">
        <f ca="1"/>
        <v/>
      </c>
      <c r="AC14" t="str">
        <f ca="1"/>
        <v/>
      </c>
      <c r="AD14" t="str">
        <f ca="1"/>
        <v/>
      </c>
      <c r="AE14" t="str">
        <f ca="1"/>
        <v/>
      </c>
      <c r="AF14" t="str">
        <f ca="1"/>
        <v/>
      </c>
      <c r="AG14" t="str">
        <f ca="1"/>
        <v/>
      </c>
      <c r="AH14" t="str">
        <f ca="1"/>
        <v/>
      </c>
      <c r="AI14" t="str">
        <f ca="1"/>
        <v/>
      </c>
      <c r="AJ14" t="str">
        <f ca="1"/>
        <v/>
      </c>
      <c r="AK14" t="str">
        <f ca="1"/>
        <v/>
      </c>
      <c r="AL14" t="str">
        <f ca="1"/>
        <v/>
      </c>
      <c r="AM14" t="str">
        <f ca="1"/>
        <v/>
      </c>
      <c r="AN14" t="str">
        <f ca="1"/>
        <v/>
      </c>
      <c r="AO14" t="str">
        <f ca="1"/>
        <v/>
      </c>
    </row>
    <row r="15" spans="1:41" x14ac:dyDescent="0.4">
      <c r="A15" s="1">
        <f ca="1"/>
        <v>46005</v>
      </c>
      <c r="B15" t="str">
        <f ca="1"/>
        <v/>
      </c>
      <c r="C15" t="str">
        <f ca="1"/>
        <v/>
      </c>
      <c r="D15" t="str">
        <f ca="1"/>
        <v/>
      </c>
      <c r="E15" t="str">
        <f ca="1"/>
        <v/>
      </c>
      <c r="F15" t="str">
        <f ca="1"/>
        <v/>
      </c>
      <c r="G15" t="str">
        <f ca="1"/>
        <v/>
      </c>
      <c r="H15" t="str">
        <f ca="1"/>
        <v/>
      </c>
      <c r="I15" t="str">
        <f ca="1"/>
        <v/>
      </c>
      <c r="J15" t="str">
        <f ca="1"/>
        <v/>
      </c>
      <c r="K15" t="str">
        <f ca="1"/>
        <v/>
      </c>
      <c r="L15" t="str">
        <f ca="1"/>
        <v/>
      </c>
      <c r="M15" t="str">
        <f ca="1"/>
        <v/>
      </c>
      <c r="N15" t="str">
        <f ca="1"/>
        <v/>
      </c>
      <c r="O15" t="str">
        <f ca="1"/>
        <v/>
      </c>
      <c r="P15" t="str">
        <f ca="1"/>
        <v/>
      </c>
      <c r="Q15" t="str">
        <f ca="1"/>
        <v/>
      </c>
      <c r="R15" t="str">
        <f ca="1"/>
        <v/>
      </c>
      <c r="S15" t="str">
        <f ca="1"/>
        <v/>
      </c>
      <c r="T15" t="str">
        <f ca="1"/>
        <v/>
      </c>
      <c r="U15" t="str">
        <f ca="1"/>
        <v/>
      </c>
      <c r="V15" t="str">
        <f ca="1"/>
        <v/>
      </c>
      <c r="W15" t="str">
        <f ca="1"/>
        <v/>
      </c>
      <c r="X15" t="str">
        <f ca="1"/>
        <v/>
      </c>
      <c r="Y15" t="str">
        <f ca="1"/>
        <v/>
      </c>
      <c r="Z15" t="str">
        <f ca="1"/>
        <v/>
      </c>
      <c r="AA15" t="str">
        <f ca="1"/>
        <v/>
      </c>
      <c r="AB15" t="str">
        <f ca="1"/>
        <v/>
      </c>
      <c r="AC15" t="str">
        <f ca="1"/>
        <v/>
      </c>
      <c r="AD15" t="str">
        <f ca="1"/>
        <v/>
      </c>
      <c r="AE15" t="str">
        <f ca="1"/>
        <v/>
      </c>
      <c r="AF15" t="str">
        <f ca="1"/>
        <v/>
      </c>
      <c r="AG15" t="str">
        <f ca="1"/>
        <v/>
      </c>
      <c r="AH15" t="str">
        <f ca="1"/>
        <v/>
      </c>
      <c r="AI15" t="str">
        <f ca="1"/>
        <v/>
      </c>
      <c r="AJ15" t="str">
        <f ca="1"/>
        <v/>
      </c>
      <c r="AK15" t="str">
        <f ca="1"/>
        <v/>
      </c>
      <c r="AL15" t="str">
        <f ca="1"/>
        <v/>
      </c>
      <c r="AM15" t="str">
        <f ca="1"/>
        <v/>
      </c>
      <c r="AN15" t="str">
        <f ca="1"/>
        <v/>
      </c>
      <c r="AO15" t="str">
        <f ca="1"/>
        <v/>
      </c>
    </row>
    <row r="16" spans="1:41" x14ac:dyDescent="0.4">
      <c r="A16" s="1">
        <f ca="1"/>
        <v>46006</v>
      </c>
      <c r="B16" vm="419">
        <f ca="1"/>
        <v>11.074</v>
      </c>
      <c r="C16" vm="420">
        <f ca="1"/>
        <v>110.45</v>
      </c>
      <c r="D16" vm="421">
        <f ca="1"/>
        <v>168.23390000000001</v>
      </c>
      <c r="E16" vm="422">
        <f ca="1"/>
        <v>580.38430000000005</v>
      </c>
      <c r="F16" vm="423">
        <f ca="1"/>
        <v>20.465</v>
      </c>
      <c r="G16" vm="424">
        <f ca="1"/>
        <v>251.75460000000001</v>
      </c>
      <c r="H16" vm="425">
        <f ca="1"/>
        <v>617.45000000000005</v>
      </c>
      <c r="I16" vm="426">
        <f ca="1"/>
        <v>69</v>
      </c>
      <c r="J16" vm="427">
        <f ca="1"/>
        <v>136.01599999999999</v>
      </c>
      <c r="K16" vm="428">
        <f ca="1"/>
        <v>228.39349999999999</v>
      </c>
      <c r="L16" vm="429">
        <f ca="1"/>
        <v>861.47</v>
      </c>
      <c r="M16" vm="430">
        <f ca="1"/>
        <v>52.08</v>
      </c>
      <c r="N16" vm="393">
        <f ca="1"/>
        <v>22.215</v>
      </c>
      <c r="O16" vm="431">
        <f ca="1"/>
        <v>149.49</v>
      </c>
      <c r="P16" vm="432">
        <f ca="1"/>
        <v>223.5325</v>
      </c>
      <c r="Q16" vm="433">
        <f ca="1"/>
        <v>2.7406999999999999</v>
      </c>
      <c r="R16" vm="434">
        <f ca="1"/>
        <v>4.6014999999999997</v>
      </c>
      <c r="S16" vm="435">
        <f ca="1"/>
        <v>87.4</v>
      </c>
      <c r="T16" vm="436">
        <f ca="1"/>
        <v>4.5307000000000004</v>
      </c>
      <c r="U16" vm="437">
        <f ca="1"/>
        <v>249.46</v>
      </c>
      <c r="V16" vm="438">
        <f ca="1"/>
        <v>260.50850000000003</v>
      </c>
      <c r="W16" vm="439">
        <f ca="1"/>
        <v>157.66</v>
      </c>
      <c r="X16" vm="440">
        <f ca="1"/>
        <v>289.60430000000002</v>
      </c>
      <c r="Y16" vm="441">
        <f ca="1"/>
        <v>107.6866</v>
      </c>
      <c r="Z16" vm="442">
        <f ca="1"/>
        <v>212.29499999999999</v>
      </c>
      <c r="AA16" vm="443">
        <f ca="1"/>
        <v>12.592000000000001</v>
      </c>
      <c r="AB16" vm="444">
        <f ca="1"/>
        <v>13.57</v>
      </c>
      <c r="AC16" vm="445">
        <f ca="1"/>
        <v>22.81</v>
      </c>
      <c r="AD16" vm="446">
        <f ca="1"/>
        <v>146.36000000000001</v>
      </c>
      <c r="AE16" vm="447">
        <f ca="1"/>
        <v>123.56</v>
      </c>
      <c r="AF16" vm="448">
        <f ca="1"/>
        <v>144.74</v>
      </c>
      <c r="AG16" vm="449">
        <f ca="1"/>
        <v>351.5</v>
      </c>
      <c r="AH16" vm="450">
        <f ca="1"/>
        <v>349.3</v>
      </c>
      <c r="AI16" vm="451">
        <f ca="1"/>
        <v>117.38</v>
      </c>
      <c r="AJ16" vm="452">
        <f ca="1"/>
        <v>115.52</v>
      </c>
      <c r="AK16" vm="453">
        <f ca="1"/>
        <v>1029.6324</v>
      </c>
      <c r="AL16" t="str">
        <f ca="1"/>
        <v/>
      </c>
      <c r="AM16" vm="454">
        <f ca="1"/>
        <v>122.76</v>
      </c>
      <c r="AN16" vm="455">
        <f ca="1"/>
        <v>139.62</v>
      </c>
      <c r="AO16" vm="380">
        <f ca="1"/>
        <v>402.5</v>
      </c>
    </row>
    <row r="17" spans="1:41" x14ac:dyDescent="0.4">
      <c r="A17" s="1">
        <f ca="1"/>
        <v>46007</v>
      </c>
      <c r="B17" vm="456">
        <f ca="1"/>
        <v>10.986000000000001</v>
      </c>
      <c r="C17" vm="457">
        <f ca="1"/>
        <v>109.735</v>
      </c>
      <c r="D17" vm="458">
        <f ca="1"/>
        <v>167.17689999999999</v>
      </c>
      <c r="E17" vm="459">
        <f ca="1"/>
        <v>577.3143</v>
      </c>
      <c r="F17" vm="196">
        <f ca="1"/>
        <v>20.364999999999998</v>
      </c>
      <c r="G17" vm="460">
        <f ca="1"/>
        <v>251.72020000000001</v>
      </c>
      <c r="H17" vm="461">
        <f ca="1"/>
        <v>613.67219999999998</v>
      </c>
      <c r="I17" vm="462">
        <f ca="1"/>
        <v>68.3</v>
      </c>
      <c r="J17" vm="463">
        <f ca="1"/>
        <v>135.64959999999999</v>
      </c>
      <c r="K17" vm="464">
        <f ca="1"/>
        <v>227.68360000000001</v>
      </c>
      <c r="L17" vm="465">
        <f ca="1"/>
        <v>857.61</v>
      </c>
      <c r="M17" vm="466">
        <f ca="1"/>
        <v>51.74</v>
      </c>
      <c r="N17" vm="467">
        <f ca="1"/>
        <v>21.805</v>
      </c>
      <c r="O17" vm="468">
        <f ca="1"/>
        <v>147.35</v>
      </c>
      <c r="P17" vm="469">
        <f ca="1"/>
        <v>220.29859999999999</v>
      </c>
      <c r="Q17" vm="470">
        <f ca="1"/>
        <v>2.7376999999999998</v>
      </c>
      <c r="R17" vm="245">
        <f ca="1"/>
        <v>4.5999999999999996</v>
      </c>
      <c r="S17" vm="246">
        <f ca="1"/>
        <v>87.88</v>
      </c>
      <c r="T17" vm="471">
        <f ca="1"/>
        <v>4.5366</v>
      </c>
      <c r="U17" vm="472">
        <f ca="1"/>
        <v>249.98</v>
      </c>
      <c r="V17" vm="473">
        <f ca="1"/>
        <v>260.52600000000001</v>
      </c>
      <c r="W17" vm="474">
        <f ca="1"/>
        <v>157.71</v>
      </c>
      <c r="X17" vm="475">
        <f ca="1"/>
        <v>289.60930000000002</v>
      </c>
      <c r="Y17" vm="476">
        <f ca="1"/>
        <v>107.7718</v>
      </c>
      <c r="Z17" vm="477">
        <f ca="1"/>
        <v>212.32599999999999</v>
      </c>
      <c r="AA17" vm="478">
        <f ca="1"/>
        <v>12.476000000000001</v>
      </c>
      <c r="AB17" vm="479">
        <f ca="1"/>
        <v>13.44</v>
      </c>
      <c r="AC17" vm="480">
        <f ca="1"/>
        <v>22.58</v>
      </c>
      <c r="AD17" vm="481">
        <f ca="1"/>
        <v>146.46</v>
      </c>
      <c r="AE17" vm="482">
        <f ca="1"/>
        <v>123.21</v>
      </c>
      <c r="AF17" vm="483">
        <f ca="1"/>
        <v>144.88</v>
      </c>
      <c r="AG17" vm="484">
        <f ca="1"/>
        <v>351.78</v>
      </c>
      <c r="AH17" vm="485">
        <f ca="1"/>
        <v>349.48</v>
      </c>
      <c r="AI17" vm="486">
        <f ca="1"/>
        <v>117.5</v>
      </c>
      <c r="AJ17" vm="487">
        <f ca="1"/>
        <v>115.63</v>
      </c>
      <c r="AK17" vm="488">
        <f ca="1"/>
        <v>1029.7501999999999</v>
      </c>
      <c r="AL17" t="str">
        <f ca="1"/>
        <v/>
      </c>
      <c r="AM17" vm="489">
        <f ca="1"/>
        <v>123.94</v>
      </c>
      <c r="AN17" vm="490">
        <f ca="1"/>
        <v>140.16</v>
      </c>
      <c r="AO17" vm="491">
        <f ca="1"/>
        <v>399</v>
      </c>
    </row>
    <row r="18" spans="1:41" x14ac:dyDescent="0.4">
      <c r="A18" s="1">
        <f ca="1"/>
        <v>46008</v>
      </c>
      <c r="B18" vm="492">
        <f ca="1"/>
        <v>10.92</v>
      </c>
      <c r="C18" vm="493">
        <f ca="1"/>
        <v>109.265</v>
      </c>
      <c r="D18" vm="494">
        <f ca="1"/>
        <v>166.17150000000001</v>
      </c>
      <c r="E18" vm="495">
        <f ca="1"/>
        <v>573.38549999999998</v>
      </c>
      <c r="F18" vm="496">
        <f ca="1"/>
        <v>20.274999999999999</v>
      </c>
      <c r="G18" vm="497">
        <f ca="1"/>
        <v>252.01410000000001</v>
      </c>
      <c r="H18" vm="498">
        <f ca="1"/>
        <v>613.59119999999996</v>
      </c>
      <c r="I18" vm="499">
        <f ca="1"/>
        <v>67.459999999999994</v>
      </c>
      <c r="J18" vm="500">
        <f ca="1"/>
        <v>135.11080000000001</v>
      </c>
      <c r="K18" vm="501">
        <f ca="1"/>
        <v>226.16480000000001</v>
      </c>
      <c r="L18" vm="502">
        <f ca="1"/>
        <v>850.62</v>
      </c>
      <c r="M18" vm="503">
        <f ca="1"/>
        <v>51.62</v>
      </c>
      <c r="N18" vm="504">
        <f ca="1"/>
        <v>21.8</v>
      </c>
      <c r="O18" vm="505">
        <f ca="1"/>
        <v>148.06</v>
      </c>
      <c r="P18" vm="506">
        <f ca="1"/>
        <v>221.25919999999999</v>
      </c>
      <c r="Q18" vm="507">
        <f ca="1"/>
        <v>2.7425000000000002</v>
      </c>
      <c r="R18" vm="508">
        <f ca="1"/>
        <v>4.6085000000000003</v>
      </c>
      <c r="S18" vm="509">
        <f ca="1"/>
        <v>87.8</v>
      </c>
      <c r="T18" vm="510">
        <f ca="1"/>
        <v>4.5232999999999999</v>
      </c>
      <c r="U18" vm="511">
        <f ca="1"/>
        <v>249.07</v>
      </c>
      <c r="V18" vm="512">
        <f ca="1"/>
        <v>260.52280000000002</v>
      </c>
      <c r="W18" vm="513">
        <f ca="1"/>
        <v>157.79</v>
      </c>
      <c r="X18" vm="514">
        <f ca="1"/>
        <v>289.52780000000001</v>
      </c>
      <c r="Y18" vm="515">
        <f ca="1"/>
        <v>107.7439</v>
      </c>
      <c r="Z18" vm="516">
        <f ca="1"/>
        <v>212.315</v>
      </c>
      <c r="AA18" vm="517">
        <f ca="1"/>
        <v>12.548</v>
      </c>
      <c r="AB18" vm="518">
        <f ca="1"/>
        <v>13.6</v>
      </c>
      <c r="AC18" vm="519">
        <f ca="1"/>
        <v>22.85</v>
      </c>
      <c r="AD18" vm="520">
        <f ca="1"/>
        <v>146.44</v>
      </c>
      <c r="AE18" vm="521">
        <f ca="1"/>
        <v>123.18</v>
      </c>
      <c r="AF18" vm="522">
        <f ca="1"/>
        <v>145.88999999999999</v>
      </c>
      <c r="AG18" vm="523">
        <f ca="1"/>
        <v>354.3</v>
      </c>
      <c r="AH18" vm="524">
        <f ca="1"/>
        <v>351.98</v>
      </c>
      <c r="AI18" vm="525">
        <f ca="1"/>
        <v>118.31</v>
      </c>
      <c r="AJ18" vm="526">
        <f ca="1"/>
        <v>116.09</v>
      </c>
      <c r="AK18" vm="527">
        <f ca="1"/>
        <v>1029.6428000000001</v>
      </c>
      <c r="AL18" t="str">
        <f ca="1"/>
        <v/>
      </c>
      <c r="AM18" vm="528">
        <f ca="1"/>
        <v>123.6</v>
      </c>
      <c r="AN18" vm="529">
        <f ca="1"/>
        <v>140.12</v>
      </c>
      <c r="AO18" vm="530">
        <f ca="1"/>
        <v>397.5</v>
      </c>
    </row>
    <row r="19" spans="1:41" x14ac:dyDescent="0.4">
      <c r="A19" s="1">
        <f ca="1"/>
        <v>46009</v>
      </c>
      <c r="B19" vm="531">
        <f ca="1"/>
        <v>11.071999999999999</v>
      </c>
      <c r="C19" vm="532">
        <f ca="1"/>
        <v>110.47499999999999</v>
      </c>
      <c r="D19" vm="533">
        <f ca="1"/>
        <v>167.9607</v>
      </c>
      <c r="E19" vm="534">
        <f ca="1"/>
        <v>579.54880000000003</v>
      </c>
      <c r="F19" vm="535">
        <f ca="1"/>
        <v>20.5</v>
      </c>
      <c r="G19" vm="536">
        <f ca="1"/>
        <v>254.71</v>
      </c>
      <c r="H19" vm="537">
        <f ca="1"/>
        <v>616.06579999999997</v>
      </c>
      <c r="I19" vm="538">
        <f ca="1"/>
        <v>68.62</v>
      </c>
      <c r="J19" vm="539">
        <f ca="1"/>
        <v>136.48589999999999</v>
      </c>
      <c r="K19" vm="540">
        <f ca="1"/>
        <v>228.71690000000001</v>
      </c>
      <c r="L19" vm="541">
        <f ca="1"/>
        <v>859.55</v>
      </c>
      <c r="M19" vm="542">
        <f ca="1"/>
        <v>52.04</v>
      </c>
      <c r="N19" vm="543">
        <f ca="1"/>
        <v>22.11</v>
      </c>
      <c r="O19" vm="544">
        <f ca="1"/>
        <v>147.93</v>
      </c>
      <c r="P19" vm="545">
        <f ca="1"/>
        <v>221.26650000000001</v>
      </c>
      <c r="Q19" vm="546">
        <f ca="1"/>
        <v>2.7684000000000002</v>
      </c>
      <c r="R19" vm="547">
        <f ca="1"/>
        <v>4.6364999999999998</v>
      </c>
      <c r="S19" vm="548">
        <f ca="1"/>
        <v>88.22</v>
      </c>
      <c r="T19" vm="549">
        <f ca="1"/>
        <v>4.5220000000000002</v>
      </c>
      <c r="U19" vm="550">
        <f ca="1"/>
        <v>249.14</v>
      </c>
      <c r="V19" vm="551">
        <f ca="1"/>
        <v>261.0455</v>
      </c>
      <c r="W19" vm="552">
        <f ca="1"/>
        <v>157.9</v>
      </c>
      <c r="X19" vm="553">
        <f ca="1"/>
        <v>290.23790000000002</v>
      </c>
      <c r="Y19" vm="554">
        <f ca="1"/>
        <v>107.8312</v>
      </c>
      <c r="Z19" vm="555">
        <f ca="1"/>
        <v>212.55600000000001</v>
      </c>
      <c r="AA19" vm="556">
        <f ca="1"/>
        <v>12.606</v>
      </c>
      <c r="AB19" vm="557">
        <f ca="1"/>
        <v>13.52</v>
      </c>
      <c r="AC19" vm="558">
        <f ca="1"/>
        <v>22.69</v>
      </c>
      <c r="AD19" vm="559">
        <f ca="1"/>
        <v>146.63999999999999</v>
      </c>
      <c r="AE19" vm="560">
        <f ca="1"/>
        <v>123.25</v>
      </c>
      <c r="AF19" vm="561">
        <f ca="1"/>
        <v>147.71</v>
      </c>
      <c r="AG19" vm="562">
        <f ca="1"/>
        <v>358.6</v>
      </c>
      <c r="AH19" vm="563">
        <f ca="1"/>
        <v>356.26</v>
      </c>
      <c r="AI19" vm="564">
        <f ca="1"/>
        <v>119.77</v>
      </c>
      <c r="AJ19" vm="565">
        <f ca="1"/>
        <v>115.43</v>
      </c>
      <c r="AK19" vm="566">
        <f ca="1"/>
        <v>1029.5648000000001</v>
      </c>
      <c r="AL19" t="str">
        <f ca="1"/>
        <v/>
      </c>
      <c r="AM19" vm="567">
        <f ca="1"/>
        <v>123.56</v>
      </c>
      <c r="AN19" vm="568">
        <f ca="1"/>
        <v>140.19999999999999</v>
      </c>
      <c r="AO19" vm="569">
        <f ca="1"/>
        <v>399.5</v>
      </c>
    </row>
    <row r="20" spans="1:41" x14ac:dyDescent="0.4">
      <c r="A20" s="1">
        <f ca="1"/>
        <v>46010</v>
      </c>
      <c r="B20" vm="570">
        <f ca="1"/>
        <v>11.125999999999999</v>
      </c>
      <c r="C20" vm="571">
        <f ca="1"/>
        <v>110.955</v>
      </c>
      <c r="D20" vm="572">
        <f ca="1"/>
        <v>168.44640000000001</v>
      </c>
      <c r="E20" vm="573">
        <f ca="1"/>
        <v>581.28189999999995</v>
      </c>
      <c r="F20" vm="574">
        <f ca="1"/>
        <v>20.594999999999999</v>
      </c>
      <c r="G20" vm="575">
        <f ca="1"/>
        <v>254.4836</v>
      </c>
      <c r="H20" vm="576">
        <f ca="1"/>
        <v>619.80560000000003</v>
      </c>
      <c r="I20" vm="577">
        <f ca="1"/>
        <v>69.53</v>
      </c>
      <c r="J20" vm="578">
        <f ca="1"/>
        <v>137.01769999999999</v>
      </c>
      <c r="K20" vm="579">
        <f ca="1"/>
        <v>228.68539999999999</v>
      </c>
      <c r="L20" vm="580">
        <f ca="1"/>
        <v>862.05</v>
      </c>
      <c r="M20" vm="581">
        <f ca="1"/>
        <v>52.44</v>
      </c>
      <c r="N20" vm="582">
        <f ca="1"/>
        <v>22.355</v>
      </c>
      <c r="O20" vm="583">
        <f ca="1"/>
        <v>149.05000000000001</v>
      </c>
      <c r="P20" vm="584">
        <f ca="1"/>
        <v>222.94630000000001</v>
      </c>
      <c r="Q20" vm="585">
        <f ca="1"/>
        <v>2.762</v>
      </c>
      <c r="R20" vm="586">
        <f ca="1"/>
        <v>4.6150000000000002</v>
      </c>
      <c r="S20" vm="587">
        <f ca="1"/>
        <v>87.55</v>
      </c>
      <c r="T20" vm="588">
        <f ca="1"/>
        <v>4.4733999999999998</v>
      </c>
      <c r="U20" vm="589">
        <f ca="1"/>
        <v>246.22</v>
      </c>
      <c r="V20" vm="590">
        <f ca="1"/>
        <v>260.79509999999999</v>
      </c>
      <c r="W20" vm="591">
        <f ca="1"/>
        <v>157.83000000000001</v>
      </c>
      <c r="X20" vm="592">
        <f ca="1"/>
        <v>290.0222</v>
      </c>
      <c r="Y20" vm="593">
        <f ca="1"/>
        <v>107.7261</v>
      </c>
      <c r="Z20" vm="594">
        <f ca="1"/>
        <v>212.6</v>
      </c>
      <c r="AA20" vm="595">
        <f ca="1"/>
        <v>12.612</v>
      </c>
      <c r="AB20" vm="596">
        <f ca="1"/>
        <v>13.62</v>
      </c>
      <c r="AC20" vm="519">
        <f ca="1"/>
        <v>22.85</v>
      </c>
      <c r="AD20" vm="181">
        <f ca="1"/>
        <v>146.51</v>
      </c>
      <c r="AE20" vm="597">
        <f ca="1"/>
        <v>123.14</v>
      </c>
      <c r="AF20" vm="598">
        <f ca="1"/>
        <v>147.12</v>
      </c>
      <c r="AG20" vm="599">
        <f ca="1"/>
        <v>357.18</v>
      </c>
      <c r="AH20" vm="600">
        <f ca="1"/>
        <v>354.82</v>
      </c>
      <c r="AI20" vm="601">
        <f ca="1"/>
        <v>119.29</v>
      </c>
      <c r="AJ20" vm="602">
        <f ca="1"/>
        <v>115</v>
      </c>
      <c r="AK20" vm="603">
        <f ca="1"/>
        <v>1029.6907000000001</v>
      </c>
      <c r="AL20" t="str">
        <f ca="1"/>
        <v/>
      </c>
      <c r="AM20" vm="604">
        <f ca="1"/>
        <v>124.5</v>
      </c>
      <c r="AN20" vm="605">
        <f ca="1"/>
        <v>140.74</v>
      </c>
      <c r="AO20" vm="118">
        <f ca="1"/>
        <v>396.5</v>
      </c>
    </row>
    <row r="21" spans="1:41" x14ac:dyDescent="0.4">
      <c r="A21" s="1">
        <f ca="1"/>
        <v>46011</v>
      </c>
      <c r="B21" t="str">
        <f ca="1"/>
        <v/>
      </c>
      <c r="C21" t="str">
        <f ca="1"/>
        <v/>
      </c>
      <c r="D21" t="str">
        <f ca="1"/>
        <v/>
      </c>
      <c r="E21" t="str">
        <f ca="1"/>
        <v/>
      </c>
      <c r="F21" t="str">
        <f ca="1"/>
        <v/>
      </c>
      <c r="G21" t="str">
        <f ca="1"/>
        <v/>
      </c>
      <c r="H21" t="str">
        <f ca="1"/>
        <v/>
      </c>
      <c r="I21" t="str">
        <f ca="1"/>
        <v/>
      </c>
      <c r="J21" t="str">
        <f ca="1"/>
        <v/>
      </c>
      <c r="K21" t="str">
        <f ca="1"/>
        <v/>
      </c>
      <c r="L21" t="str">
        <f ca="1"/>
        <v/>
      </c>
      <c r="M21" t="str">
        <f ca="1"/>
        <v/>
      </c>
      <c r="N21" t="str">
        <f ca="1"/>
        <v/>
      </c>
      <c r="O21" t="str">
        <f ca="1"/>
        <v/>
      </c>
      <c r="P21" t="str">
        <f ca="1"/>
        <v/>
      </c>
      <c r="Q21" t="str">
        <f ca="1"/>
        <v/>
      </c>
      <c r="R21" t="str">
        <f ca="1"/>
        <v/>
      </c>
      <c r="S21" t="str">
        <f ca="1"/>
        <v/>
      </c>
      <c r="T21" t="str">
        <f ca="1"/>
        <v/>
      </c>
      <c r="U21" t="str">
        <f ca="1"/>
        <v/>
      </c>
      <c r="V21" t="str">
        <f ca="1"/>
        <v/>
      </c>
      <c r="W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c r="AL21" t="str">
        <f ca="1"/>
        <v/>
      </c>
      <c r="AM21" t="str">
        <f ca="1"/>
        <v/>
      </c>
      <c r="AN21" t="str">
        <f ca="1"/>
        <v/>
      </c>
      <c r="AO21" t="str">
        <f ca="1"/>
        <v/>
      </c>
    </row>
    <row r="22" spans="1:41" x14ac:dyDescent="0.4">
      <c r="A22" s="1">
        <f ca="1"/>
        <v>46012</v>
      </c>
      <c r="B22" t="str">
        <f ca="1"/>
        <v/>
      </c>
      <c r="C22" t="str">
        <f ca="1"/>
        <v/>
      </c>
      <c r="D22" t="str">
        <f ca="1"/>
        <v/>
      </c>
      <c r="E22" t="str">
        <f ca="1"/>
        <v/>
      </c>
      <c r="F22" t="str">
        <f ca="1"/>
        <v/>
      </c>
      <c r="G22" t="str">
        <f ca="1"/>
        <v/>
      </c>
      <c r="H22" t="str">
        <f ca="1"/>
        <v/>
      </c>
      <c r="I22" t="str">
        <f ca="1"/>
        <v/>
      </c>
      <c r="J22" t="str">
        <f ca="1"/>
        <v/>
      </c>
      <c r="K22" t="str">
        <f ca="1"/>
        <v/>
      </c>
      <c r="L22" t="str">
        <f ca="1"/>
        <v/>
      </c>
      <c r="M22" t="str">
        <f ca="1"/>
        <v/>
      </c>
      <c r="N22" t="str">
        <f ca="1"/>
        <v/>
      </c>
      <c r="O22" t="str">
        <f ca="1"/>
        <v/>
      </c>
      <c r="P22" t="str">
        <f ca="1"/>
        <v/>
      </c>
      <c r="Q22" t="str">
        <f ca="1"/>
        <v/>
      </c>
      <c r="R22" t="str">
        <f ca="1"/>
        <v/>
      </c>
      <c r="S22" t="str">
        <f ca="1"/>
        <v/>
      </c>
      <c r="T22" t="str">
        <f ca="1"/>
        <v/>
      </c>
      <c r="U22" t="str">
        <f ca="1"/>
        <v/>
      </c>
      <c r="V22" t="str">
        <f ca="1"/>
        <v/>
      </c>
      <c r="W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c r="AL22" t="str">
        <f ca="1"/>
        <v/>
      </c>
      <c r="AM22" t="str">
        <f ca="1"/>
        <v/>
      </c>
      <c r="AN22" t="str">
        <f ca="1"/>
        <v/>
      </c>
      <c r="AO22" t="str">
        <f ca="1"/>
        <v/>
      </c>
    </row>
    <row r="23" spans="1:41" x14ac:dyDescent="0.4">
      <c r="A23" s="1">
        <f ca="1"/>
        <v>46013</v>
      </c>
      <c r="B23" vm="606">
        <f ca="1"/>
        <v>11.144</v>
      </c>
      <c r="C23" vm="607">
        <f ca="1"/>
        <v>111.16500000000001</v>
      </c>
      <c r="D23" vm="608">
        <f ca="1"/>
        <v>168.869</v>
      </c>
      <c r="E23" vm="609">
        <f ca="1"/>
        <v>581.98800000000006</v>
      </c>
      <c r="F23" vm="610">
        <f ca="1"/>
        <v>20.55</v>
      </c>
      <c r="G23" vm="611">
        <f ca="1"/>
        <v>254.03059999999999</v>
      </c>
      <c r="H23" vm="612">
        <f ca="1"/>
        <v>617.01149999999996</v>
      </c>
      <c r="I23" vm="613">
        <f ca="1"/>
        <v>69.900000000000006</v>
      </c>
      <c r="J23" vm="614">
        <f ca="1"/>
        <v>137.3288</v>
      </c>
      <c r="K23" vm="615">
        <f ca="1"/>
        <v>229.57589999999999</v>
      </c>
      <c r="L23" vm="616">
        <f ca="1"/>
        <v>864.74</v>
      </c>
      <c r="M23" vm="617">
        <f ca="1"/>
        <v>52.35</v>
      </c>
      <c r="N23" vm="618">
        <f ca="1"/>
        <v>22.434999999999999</v>
      </c>
      <c r="O23" vm="619">
        <f ca="1"/>
        <v>149.75</v>
      </c>
      <c r="P23" vm="620">
        <f ca="1"/>
        <v>223.7372</v>
      </c>
      <c r="Q23" vm="621">
        <f ca="1"/>
        <v>2.7464</v>
      </c>
      <c r="R23" vm="622">
        <f ca="1"/>
        <v>4.6029999999999998</v>
      </c>
      <c r="S23" vm="623">
        <f ca="1"/>
        <v>87.36</v>
      </c>
      <c r="T23" vm="624">
        <f ca="1"/>
        <v>4.4760999999999997</v>
      </c>
      <c r="U23" vm="625">
        <f ca="1"/>
        <v>246.4</v>
      </c>
      <c r="V23" vm="626">
        <f ca="1"/>
        <v>260.6918</v>
      </c>
      <c r="W23" vm="627">
        <f ca="1"/>
        <v>157.85</v>
      </c>
      <c r="X23" vm="628">
        <f ca="1"/>
        <v>289.87279999999998</v>
      </c>
      <c r="Y23" vm="629">
        <f ca="1"/>
        <v>107.66160000000001</v>
      </c>
      <c r="Z23" vm="630">
        <f ca="1"/>
        <v>212.66200000000001</v>
      </c>
      <c r="AA23" vm="631">
        <f ca="1"/>
        <v>12.715999999999999</v>
      </c>
      <c r="AB23" vm="632">
        <f ca="1"/>
        <v>13.27</v>
      </c>
      <c r="AC23" vm="633">
        <f ca="1"/>
        <v>22.39</v>
      </c>
      <c r="AD23" vm="181">
        <f ca="1"/>
        <v>146.51</v>
      </c>
      <c r="AE23" vm="634">
        <f ca="1"/>
        <v>122.73</v>
      </c>
      <c r="AF23" vm="635">
        <f ca="1"/>
        <v>149.58000000000001</v>
      </c>
      <c r="AG23" vm="636">
        <f ca="1"/>
        <v>363.24</v>
      </c>
      <c r="AH23" vm="637">
        <f ca="1"/>
        <v>360.86</v>
      </c>
      <c r="AI23" vm="638">
        <f ca="1"/>
        <v>121.29</v>
      </c>
      <c r="AJ23" vm="639">
        <f ca="1"/>
        <v>114.58</v>
      </c>
      <c r="AK23" vm="640">
        <f ca="1"/>
        <v>1030.0961</v>
      </c>
      <c r="AL23" t="str">
        <f ca="1"/>
        <v/>
      </c>
      <c r="AM23" vm="641">
        <f ca="1"/>
        <v>125</v>
      </c>
      <c r="AN23" vm="642">
        <f ca="1"/>
        <v>140.84</v>
      </c>
      <c r="AO23" vm="643">
        <f ca="1"/>
        <v>396</v>
      </c>
    </row>
    <row r="24" spans="1:41" x14ac:dyDescent="0.4">
      <c r="A24" s="1">
        <f ca="1"/>
        <v>46014</v>
      </c>
      <c r="B24" vm="644">
        <f ca="1"/>
        <v>11.15</v>
      </c>
      <c r="C24" vm="645">
        <f ca="1"/>
        <v>111.41500000000001</v>
      </c>
      <c r="D24" vm="646">
        <f ca="1"/>
        <v>169.12469999999999</v>
      </c>
      <c r="E24" vm="647">
        <f ca="1"/>
        <v>582.27099999999996</v>
      </c>
      <c r="F24" vm="648">
        <f ca="1"/>
        <v>20.535</v>
      </c>
      <c r="G24" vm="649">
        <f ca="1"/>
        <v>254.1782</v>
      </c>
      <c r="H24" vm="650">
        <f ca="1"/>
        <v>621.12559999999996</v>
      </c>
      <c r="I24" vm="651">
        <f ca="1"/>
        <v>70.13</v>
      </c>
      <c r="J24" vm="652">
        <f ca="1"/>
        <v>137.7706</v>
      </c>
      <c r="K24" vm="653">
        <f ca="1"/>
        <v>230.04249999999999</v>
      </c>
      <c r="L24" vm="654">
        <f ca="1"/>
        <v>865.64</v>
      </c>
      <c r="M24" vm="655">
        <f ca="1"/>
        <v>52.37</v>
      </c>
      <c r="N24" vm="656">
        <f ca="1"/>
        <v>22.445</v>
      </c>
      <c r="O24" vm="657">
        <f ca="1"/>
        <v>149.44999999999999</v>
      </c>
      <c r="P24" vm="658">
        <f ca="1"/>
        <v>223.1267</v>
      </c>
      <c r="Q24" vm="659">
        <f ca="1"/>
        <v>2.7427000000000001</v>
      </c>
      <c r="R24" vm="660">
        <f ca="1"/>
        <v>4.609</v>
      </c>
      <c r="S24" vm="661">
        <f ca="1"/>
        <v>87.5</v>
      </c>
      <c r="T24" vm="662">
        <f ca="1"/>
        <v>4.5210999999999997</v>
      </c>
      <c r="U24" vm="663">
        <f ca="1"/>
        <v>249.03</v>
      </c>
      <c r="V24" vm="664">
        <f ca="1"/>
        <v>261.96010000000001</v>
      </c>
      <c r="W24" vm="665">
        <f ca="1"/>
        <v>158.02000000000001</v>
      </c>
      <c r="X24" vm="666">
        <f ca="1"/>
        <v>291.13240000000002</v>
      </c>
      <c r="Y24" vm="667">
        <f ca="1"/>
        <v>107.73009999999999</v>
      </c>
      <c r="Z24" vm="668">
        <f ca="1"/>
        <v>212.68</v>
      </c>
      <c r="AA24" vm="669">
        <f ca="1"/>
        <v>12.766</v>
      </c>
      <c r="AB24" vm="670">
        <f ca="1"/>
        <v>13.4</v>
      </c>
      <c r="AC24" vm="671">
        <f ca="1"/>
        <v>22.64</v>
      </c>
      <c r="AD24" vm="672">
        <f ca="1"/>
        <v>146.76</v>
      </c>
      <c r="AE24" vm="673">
        <f ca="1"/>
        <v>123.2</v>
      </c>
      <c r="AF24" vm="674">
        <f ca="1"/>
        <v>150.19</v>
      </c>
      <c r="AG24" vm="675">
        <f ca="1"/>
        <v>364.82</v>
      </c>
      <c r="AH24" vm="676">
        <f ca="1"/>
        <v>362.36</v>
      </c>
      <c r="AI24" vm="677">
        <f ca="1"/>
        <v>121.75</v>
      </c>
      <c r="AJ24" vm="678">
        <f ca="1"/>
        <v>114.38</v>
      </c>
      <c r="AK24" vm="679">
        <f ca="1"/>
        <v>1030.0061000000001</v>
      </c>
      <c r="AL24" t="str">
        <f ca="1"/>
        <v/>
      </c>
      <c r="AM24" vm="680">
        <f ca="1"/>
        <v>123.4</v>
      </c>
      <c r="AN24" vm="681">
        <f ca="1"/>
        <v>139.54</v>
      </c>
      <c r="AO24" vm="682">
        <f ca="1"/>
        <v>395</v>
      </c>
    </row>
    <row r="25" spans="1:41" x14ac:dyDescent="0.4">
      <c r="A25" s="1">
        <f ca="1"/>
        <v>46015</v>
      </c>
      <c r="B25" t="str">
        <f ca="1"/>
        <v/>
      </c>
      <c r="C25" t="str">
        <f ca="1"/>
        <v/>
      </c>
      <c r="D25" t="str">
        <f ca="1"/>
        <v/>
      </c>
      <c r="E25" t="str">
        <f ca="1"/>
        <v/>
      </c>
      <c r="F25" t="str">
        <f ca="1"/>
        <v/>
      </c>
      <c r="G25" t="str">
        <f ca="1"/>
        <v/>
      </c>
      <c r="H25" t="str">
        <f ca="1"/>
        <v/>
      </c>
      <c r="I25" t="str">
        <f ca="1"/>
        <v/>
      </c>
      <c r="J25" t="str">
        <f ca="1"/>
        <v/>
      </c>
      <c r="K25" t="str">
        <f ca="1"/>
        <v/>
      </c>
      <c r="L25" t="str">
        <f ca="1"/>
        <v/>
      </c>
      <c r="M25" t="str">
        <f ca="1"/>
        <v/>
      </c>
      <c r="N25" t="str">
        <f ca="1"/>
        <v/>
      </c>
      <c r="O25" t="str">
        <f ca="1"/>
        <v/>
      </c>
      <c r="P25" t="str">
        <f ca="1"/>
        <v/>
      </c>
      <c r="Q25" t="str">
        <f ca="1"/>
        <v/>
      </c>
      <c r="R25" vm="683">
        <f ca="1"/>
        <v>4.6154999999999999</v>
      </c>
      <c r="S25" vm="684">
        <f ca="1"/>
        <v>88.03</v>
      </c>
      <c r="T25" t="str">
        <f ca="1"/>
        <v/>
      </c>
      <c r="U25" t="str">
        <f ca="1"/>
        <v/>
      </c>
      <c r="V25" t="str">
        <f ca="1"/>
        <v/>
      </c>
      <c r="W25" t="str">
        <f ca="1"/>
        <v/>
      </c>
      <c r="X25" t="str">
        <f ca="1"/>
        <v/>
      </c>
      <c r="Y25" t="str">
        <f ca="1"/>
        <v/>
      </c>
      <c r="Z25" t="str">
        <f ca="1"/>
        <v/>
      </c>
      <c r="AA25" t="str">
        <f ca="1"/>
        <v/>
      </c>
      <c r="AB25" vm="685">
        <f ca="1"/>
        <v>13.42</v>
      </c>
      <c r="AC25" vm="686">
        <f ca="1"/>
        <v>22.63</v>
      </c>
      <c r="AD25" t="str">
        <f ca="1"/>
        <v/>
      </c>
      <c r="AE25" t="str">
        <f ca="1"/>
        <v/>
      </c>
      <c r="AF25" t="str">
        <f ca="1"/>
        <v/>
      </c>
      <c r="AG25" t="str">
        <f ca="1"/>
        <v/>
      </c>
      <c r="AH25" t="str">
        <f ca="1"/>
        <v/>
      </c>
      <c r="AI25" t="str">
        <f ca="1"/>
        <v/>
      </c>
      <c r="AJ25" t="str">
        <f ca="1"/>
        <v/>
      </c>
      <c r="AK25" t="str">
        <f ca="1"/>
        <v/>
      </c>
      <c r="AL25" t="str">
        <f ca="1"/>
        <v/>
      </c>
      <c r="AM25" t="str">
        <f ca="1"/>
        <v/>
      </c>
      <c r="AN25" t="str">
        <f ca="1"/>
        <v/>
      </c>
      <c r="AO25" vm="687">
        <f ca="1"/>
        <v>395.5</v>
      </c>
    </row>
    <row r="26" spans="1:41" x14ac:dyDescent="0.4">
      <c r="A26" s="1">
        <f ca="1"/>
        <v>46016</v>
      </c>
      <c r="B26" t="str">
        <f ca="1"/>
        <v/>
      </c>
      <c r="C26" t="str">
        <f ca="1"/>
        <v/>
      </c>
      <c r="D26" t="str">
        <f ca="1"/>
        <v/>
      </c>
      <c r="E26" t="str">
        <f ca="1"/>
        <v/>
      </c>
      <c r="F26" t="str">
        <f ca="1"/>
        <v/>
      </c>
      <c r="G26" t="str">
        <f ca="1"/>
        <v/>
      </c>
      <c r="H26" t="str">
        <f ca="1"/>
        <v/>
      </c>
      <c r="I26" t="str">
        <f ca="1"/>
        <v/>
      </c>
      <c r="J26" t="str">
        <f ca="1"/>
        <v/>
      </c>
      <c r="K26" t="str">
        <f ca="1"/>
        <v/>
      </c>
      <c r="L26" t="str">
        <f ca="1"/>
        <v/>
      </c>
      <c r="M26" t="str">
        <f ca="1"/>
        <v/>
      </c>
      <c r="N26" t="str">
        <f ca="1"/>
        <v/>
      </c>
      <c r="O26" t="str">
        <f ca="1"/>
        <v/>
      </c>
      <c r="P26" t="str">
        <f ca="1"/>
        <v/>
      </c>
      <c r="Q26" t="str">
        <f ca="1"/>
        <v/>
      </c>
      <c r="R26" t="str">
        <f ca="1"/>
        <v/>
      </c>
      <c r="S26" t="str">
        <f ca="1"/>
        <v/>
      </c>
      <c r="T26" t="str">
        <f ca="1"/>
        <v/>
      </c>
      <c r="U26" t="str">
        <f ca="1"/>
        <v/>
      </c>
      <c r="V26" t="str">
        <f ca="1"/>
        <v/>
      </c>
      <c r="W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c r="AL26" t="str">
        <f ca="1"/>
        <v/>
      </c>
      <c r="AM26" t="str">
        <f ca="1"/>
        <v/>
      </c>
      <c r="AN26" t="str">
        <f ca="1"/>
        <v/>
      </c>
      <c r="AO26" t="str">
        <f ca="1"/>
        <v/>
      </c>
    </row>
    <row r="27" spans="1:41" x14ac:dyDescent="0.4">
      <c r="A27" s="1">
        <f ca="1"/>
        <v>46017</v>
      </c>
      <c r="B27" t="str">
        <f ca="1"/>
        <v/>
      </c>
      <c r="C27" t="str">
        <f ca="1"/>
        <v/>
      </c>
      <c r="D27" t="str">
        <f ca="1"/>
        <v/>
      </c>
      <c r="E27" t="str">
        <f ca="1"/>
        <v/>
      </c>
      <c r="F27" t="str">
        <f ca="1"/>
        <v/>
      </c>
      <c r="G27" t="str">
        <f ca="1"/>
        <v/>
      </c>
      <c r="H27" t="str">
        <f ca="1"/>
        <v/>
      </c>
      <c r="I27" t="str">
        <f ca="1"/>
        <v/>
      </c>
      <c r="J27" t="str">
        <f ca="1"/>
        <v/>
      </c>
      <c r="K27" t="str">
        <f ca="1"/>
        <v/>
      </c>
      <c r="L27" t="str">
        <f ca="1"/>
        <v/>
      </c>
      <c r="M27" t="str">
        <f ca="1"/>
        <v/>
      </c>
      <c r="N27" t="str">
        <f ca="1"/>
        <v/>
      </c>
      <c r="O27" t="str">
        <f ca="1"/>
        <v/>
      </c>
      <c r="P27" t="str">
        <f ca="1"/>
        <v/>
      </c>
      <c r="Q27" t="str">
        <f ca="1"/>
        <v/>
      </c>
      <c r="R27" t="str">
        <f ca="1"/>
        <v/>
      </c>
      <c r="S27" vm="688">
        <f ca="1"/>
        <v>87.74</v>
      </c>
      <c r="T27" t="str">
        <f ca="1"/>
        <v/>
      </c>
      <c r="U27" t="str">
        <f ca="1"/>
        <v/>
      </c>
      <c r="V27" t="str">
        <f ca="1"/>
        <v/>
      </c>
      <c r="W27" t="str">
        <f ca="1"/>
        <v/>
      </c>
      <c r="X27" t="str">
        <f ca="1"/>
        <v/>
      </c>
      <c r="Y27" t="str">
        <f ca="1"/>
        <v/>
      </c>
      <c r="Z27" t="str">
        <f ca="1"/>
        <v/>
      </c>
      <c r="AA27" t="str">
        <f ca="1"/>
        <v/>
      </c>
      <c r="AB27" vm="689">
        <f ca="1"/>
        <v>13.45</v>
      </c>
      <c r="AC27" vm="690">
        <f ca="1"/>
        <v>22.7</v>
      </c>
      <c r="AD27" t="str">
        <f ca="1"/>
        <v/>
      </c>
      <c r="AE27" t="str">
        <f ca="1"/>
        <v/>
      </c>
      <c r="AF27" t="str">
        <f ca="1"/>
        <v/>
      </c>
      <c r="AG27" t="str">
        <f ca="1"/>
        <v/>
      </c>
      <c r="AH27" t="str">
        <f ca="1"/>
        <v/>
      </c>
      <c r="AI27" t="str">
        <f ca="1"/>
        <v/>
      </c>
      <c r="AJ27" t="str">
        <f ca="1"/>
        <v/>
      </c>
      <c r="AK27" t="str">
        <f ca="1"/>
        <v/>
      </c>
      <c r="AL27" t="str">
        <f ca="1"/>
        <v/>
      </c>
      <c r="AM27" t="str">
        <f ca="1"/>
        <v/>
      </c>
      <c r="AN27" t="str">
        <f ca="1"/>
        <v/>
      </c>
      <c r="AO27" t="str">
        <f ca="1"/>
        <v/>
      </c>
    </row>
    <row r="28" spans="1:41" x14ac:dyDescent="0.4">
      <c r="A28" s="1">
        <f ca="1"/>
        <v>46018</v>
      </c>
      <c r="B28" t="str">
        <f ca="1"/>
        <v/>
      </c>
      <c r="C28" t="str">
        <f ca="1"/>
        <v/>
      </c>
      <c r="D28" t="str">
        <f ca="1"/>
        <v/>
      </c>
      <c r="E28" t="str">
        <f ca="1"/>
        <v/>
      </c>
      <c r="F28" t="str">
        <f ca="1"/>
        <v/>
      </c>
      <c r="G28" t="str">
        <f ca="1"/>
        <v/>
      </c>
      <c r="H28" t="str">
        <f ca="1"/>
        <v/>
      </c>
      <c r="I28" t="str">
        <f ca="1"/>
        <v/>
      </c>
      <c r="J28" t="str">
        <f ca="1"/>
        <v/>
      </c>
      <c r="K28" t="str">
        <f ca="1"/>
        <v/>
      </c>
      <c r="L28" t="str">
        <f ca="1"/>
        <v/>
      </c>
      <c r="M28" t="str">
        <f ca="1"/>
        <v/>
      </c>
      <c r="N28" t="str">
        <f ca="1"/>
        <v/>
      </c>
      <c r="O28" t="str">
        <f ca="1"/>
        <v/>
      </c>
      <c r="P28" t="str">
        <f ca="1"/>
        <v/>
      </c>
      <c r="Q28" t="str">
        <f ca="1"/>
        <v/>
      </c>
      <c r="R28" t="str">
        <f ca="1"/>
        <v/>
      </c>
      <c r="S28" t="str">
        <f ca="1"/>
        <v/>
      </c>
      <c r="T28" t="str">
        <f ca="1"/>
        <v/>
      </c>
      <c r="U28" t="str">
        <f ca="1"/>
        <v/>
      </c>
      <c r="V28" t="str">
        <f ca="1"/>
        <v/>
      </c>
      <c r="W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c r="AL28" t="str">
        <f ca="1"/>
        <v/>
      </c>
      <c r="AM28" t="str">
        <f ca="1"/>
        <v/>
      </c>
      <c r="AN28" t="str">
        <f ca="1"/>
        <v/>
      </c>
      <c r="AO28" t="str">
        <f ca="1"/>
        <v/>
      </c>
    </row>
    <row r="29" spans="1:41" x14ac:dyDescent="0.4">
      <c r="A29" s="1">
        <f ca="1"/>
        <v>46019</v>
      </c>
      <c r="B29" t="str">
        <f ca="1"/>
        <v/>
      </c>
      <c r="C29" t="str">
        <f ca="1"/>
        <v/>
      </c>
      <c r="D29" t="str">
        <f ca="1"/>
        <v/>
      </c>
      <c r="E29" t="str">
        <f ca="1"/>
        <v/>
      </c>
      <c r="F29" t="str">
        <f ca="1"/>
        <v/>
      </c>
      <c r="G29" t="str">
        <f ca="1"/>
        <v/>
      </c>
      <c r="H29" t="str">
        <f ca="1"/>
        <v/>
      </c>
      <c r="I29" t="str">
        <f ca="1"/>
        <v/>
      </c>
      <c r="J29" t="str">
        <f ca="1"/>
        <v/>
      </c>
      <c r="K29" t="str">
        <f ca="1"/>
        <v/>
      </c>
      <c r="L29" t="str">
        <f ca="1"/>
        <v/>
      </c>
      <c r="M29" t="str">
        <f ca="1"/>
        <v/>
      </c>
      <c r="N29" t="str">
        <f ca="1"/>
        <v/>
      </c>
      <c r="O29" t="str">
        <f ca="1"/>
        <v/>
      </c>
      <c r="P29" t="str">
        <f ca="1"/>
        <v/>
      </c>
      <c r="Q29" t="str">
        <f ca="1"/>
        <v/>
      </c>
      <c r="R29" t="str">
        <f ca="1"/>
        <v/>
      </c>
      <c r="S29" t="str">
        <f ca="1"/>
        <v/>
      </c>
      <c r="T29" t="str">
        <f ca="1"/>
        <v/>
      </c>
      <c r="U29" t="str">
        <f ca="1"/>
        <v/>
      </c>
      <c r="V29" t="str">
        <f ca="1"/>
        <v/>
      </c>
      <c r="W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c r="AL29" t="str">
        <f ca="1"/>
        <v/>
      </c>
      <c r="AM29" t="str">
        <f ca="1"/>
        <v/>
      </c>
      <c r="AN29" t="str">
        <f ca="1"/>
        <v/>
      </c>
      <c r="AO29" t="str">
        <f ca="1"/>
        <v/>
      </c>
    </row>
    <row r="30" spans="1:41" x14ac:dyDescent="0.4">
      <c r="A30" s="1">
        <f ca="1"/>
        <v>46020</v>
      </c>
      <c r="B30" vm="691">
        <f ca="1"/>
        <v>11.212</v>
      </c>
      <c r="C30" vm="692">
        <f ca="1"/>
        <v>111.57</v>
      </c>
      <c r="D30" vm="693">
        <f ca="1"/>
        <v>170.273</v>
      </c>
      <c r="E30" vm="694">
        <f ca="1"/>
        <v>586.24469999999997</v>
      </c>
      <c r="F30" vm="695">
        <f ca="1"/>
        <v>20.36</v>
      </c>
      <c r="G30" vm="696">
        <f ca="1"/>
        <v>255.8159</v>
      </c>
      <c r="H30" vm="697">
        <f ca="1"/>
        <v>622.62710000000004</v>
      </c>
      <c r="I30" vm="698">
        <f ca="1"/>
        <v>69.94</v>
      </c>
      <c r="J30" vm="699">
        <f ca="1"/>
        <v>139.17859999999999</v>
      </c>
      <c r="K30" vm="700">
        <f ca="1"/>
        <v>231.80350000000001</v>
      </c>
      <c r="L30" vm="701">
        <f ca="1"/>
        <v>871.68</v>
      </c>
      <c r="M30" vm="702">
        <f ca="1"/>
        <v>52.66</v>
      </c>
      <c r="N30" vm="703">
        <f ca="1"/>
        <v>22.614999999999998</v>
      </c>
      <c r="O30" vm="704">
        <f ca="1"/>
        <v>151.19</v>
      </c>
      <c r="P30" vm="705">
        <f ca="1"/>
        <v>225.54140000000001</v>
      </c>
      <c r="Q30" vm="706">
        <f ca="1"/>
        <v>2.7614999999999998</v>
      </c>
      <c r="R30" vm="707">
        <f ca="1"/>
        <v>4.6369999999999996</v>
      </c>
      <c r="S30" vm="708">
        <f ca="1"/>
        <v>88.07</v>
      </c>
      <c r="T30" vm="709">
        <f ca="1"/>
        <v>4.5476000000000001</v>
      </c>
      <c r="U30" vm="710">
        <f ca="1"/>
        <v>250.65</v>
      </c>
      <c r="V30" vm="711">
        <f ca="1"/>
        <v>262.76859999999999</v>
      </c>
      <c r="W30" vm="712">
        <f ca="1"/>
        <v>158.25</v>
      </c>
      <c r="X30" vm="713">
        <f ca="1"/>
        <v>291.96570000000003</v>
      </c>
      <c r="Y30" vm="714">
        <f ca="1"/>
        <v>107.93389999999999</v>
      </c>
      <c r="Z30" vm="715">
        <f ca="1"/>
        <v>212.88399999999999</v>
      </c>
      <c r="AA30" vm="716">
        <f ca="1"/>
        <v>12.776</v>
      </c>
      <c r="AB30" vm="717">
        <f ca="1"/>
        <v>13.34</v>
      </c>
      <c r="AC30" vm="718">
        <f ca="1"/>
        <v>22.49</v>
      </c>
      <c r="AD30" vm="719">
        <f ca="1"/>
        <v>147.01</v>
      </c>
      <c r="AE30" vm="720">
        <f ca="1"/>
        <v>123.3</v>
      </c>
      <c r="AF30" vm="721">
        <f ca="1"/>
        <v>146.37</v>
      </c>
      <c r="AG30" vm="722">
        <f ca="1"/>
        <v>355.38</v>
      </c>
      <c r="AH30" vm="723">
        <f ca="1"/>
        <v>353.1</v>
      </c>
      <c r="AI30" vm="265">
        <f ca="1"/>
        <v>118.64</v>
      </c>
      <c r="AJ30" vm="724">
        <f ca="1"/>
        <v>114.25</v>
      </c>
      <c r="AK30" vm="725">
        <f ca="1"/>
        <v>1029.6599000000001</v>
      </c>
      <c r="AL30" t="str">
        <f ca="1"/>
        <v/>
      </c>
      <c r="AM30" vm="726">
        <f ca="1"/>
        <v>122.88</v>
      </c>
      <c r="AN30" vm="727">
        <f ca="1"/>
        <v>139.9</v>
      </c>
      <c r="AO30" vm="643">
        <f ca="1"/>
        <v>396</v>
      </c>
    </row>
    <row r="31" spans="1:41" x14ac:dyDescent="0.4">
      <c r="A31" s="1">
        <f ca="1"/>
        <v>46021</v>
      </c>
      <c r="B31" vm="728">
        <f ca="1"/>
        <v>11.238</v>
      </c>
      <c r="C31" vm="729">
        <f ca="1"/>
        <v>111.77500000000001</v>
      </c>
      <c r="D31" vm="730">
        <f ca="1"/>
        <v>171.16380000000001</v>
      </c>
      <c r="E31" vm="731">
        <f ca="1"/>
        <v>589.56060000000002</v>
      </c>
      <c r="F31" vm="732">
        <f ca="1"/>
        <v>20.440000000000001</v>
      </c>
      <c r="G31" vm="733">
        <f ca="1"/>
        <v>257.03179999999998</v>
      </c>
      <c r="H31" vm="734">
        <f ca="1"/>
        <v>628.27409999999998</v>
      </c>
      <c r="I31" vm="735">
        <f ca="1"/>
        <v>70.16</v>
      </c>
      <c r="J31" vm="736">
        <f ca="1"/>
        <v>139.54089999999999</v>
      </c>
      <c r="K31" vm="737">
        <f ca="1"/>
        <v>233.2088</v>
      </c>
      <c r="L31" vm="738">
        <f ca="1"/>
        <v>877.14</v>
      </c>
      <c r="M31" vm="739">
        <f ca="1"/>
        <v>52.89</v>
      </c>
      <c r="N31" vm="740">
        <f ca="1"/>
        <v>22.785</v>
      </c>
      <c r="O31" vm="741">
        <f ca="1"/>
        <v>151.34</v>
      </c>
      <c r="P31" vm="742">
        <f ca="1"/>
        <v>225.85159999999999</v>
      </c>
      <c r="Q31" vm="743">
        <f ca="1"/>
        <v>2.7505000000000002</v>
      </c>
      <c r="R31" vm="744">
        <f ca="1"/>
        <v>4.6384999999999996</v>
      </c>
      <c r="S31" vm="745">
        <f ca="1"/>
        <v>87.86</v>
      </c>
      <c r="T31" vm="746">
        <f ca="1"/>
        <v>4.5365000000000002</v>
      </c>
      <c r="U31" vm="747">
        <f ca="1"/>
        <v>249.4</v>
      </c>
      <c r="V31" vm="748">
        <f ca="1"/>
        <v>262.83150000000001</v>
      </c>
      <c r="W31" vm="749">
        <f ca="1"/>
        <v>158.29</v>
      </c>
      <c r="X31" vm="750">
        <f ca="1"/>
        <v>292.18869999999998</v>
      </c>
      <c r="Y31" vm="751">
        <f ca="1"/>
        <v>107.8926</v>
      </c>
      <c r="Z31" vm="752">
        <f ca="1"/>
        <v>212.97200000000001</v>
      </c>
      <c r="AA31" vm="753">
        <f ca="1"/>
        <v>12.89</v>
      </c>
      <c r="AB31" vm="685">
        <f ca="1"/>
        <v>13.42</v>
      </c>
      <c r="AC31" vm="671">
        <f ca="1"/>
        <v>22.64</v>
      </c>
      <c r="AD31" vm="754">
        <f ca="1"/>
        <v>146.94999999999999</v>
      </c>
      <c r="AE31" vm="755">
        <f ca="1"/>
        <v>123.4</v>
      </c>
      <c r="AF31" vm="756">
        <f ca="1"/>
        <v>148.41999999999999</v>
      </c>
      <c r="AG31" vm="757">
        <f ca="1"/>
        <v>360.46</v>
      </c>
      <c r="AH31" vm="758">
        <f ca="1"/>
        <v>358.18</v>
      </c>
      <c r="AI31" vm="759">
        <f ca="1"/>
        <v>120.37</v>
      </c>
      <c r="AJ31" vm="760">
        <f ca="1"/>
        <v>114.21</v>
      </c>
      <c r="AK31" vm="761">
        <f ca="1"/>
        <v>1029.7929999999999</v>
      </c>
      <c r="AL31" t="str">
        <f ca="1"/>
        <v/>
      </c>
      <c r="AM31" vm="762">
        <f ca="1"/>
        <v>122.42</v>
      </c>
      <c r="AN31" vm="763">
        <f ca="1"/>
        <v>139.84</v>
      </c>
      <c r="AO31" vm="764">
        <f ca="1"/>
        <v>400</v>
      </c>
    </row>
    <row r="32" spans="1:41" x14ac:dyDescent="0.4">
      <c r="A32" s="1">
        <f ca="1"/>
        <v>46022</v>
      </c>
      <c r="B32" t="str">
        <f ca="1"/>
        <v/>
      </c>
      <c r="C32" t="str">
        <f ca="1"/>
        <v/>
      </c>
      <c r="D32" t="str">
        <f ca="1"/>
        <v/>
      </c>
      <c r="E32" vm="765">
        <f ca="1"/>
        <v>589.50469999999996</v>
      </c>
      <c r="F32" t="str">
        <f ca="1"/>
        <v/>
      </c>
      <c r="G32" vm="766">
        <f ca="1"/>
        <v>257.03100000000001</v>
      </c>
      <c r="H32" t="str">
        <f ca="1"/>
        <v/>
      </c>
      <c r="I32" t="str">
        <f ca="1"/>
        <v/>
      </c>
      <c r="J32" vm="767">
        <f ca="1"/>
        <v>139.53980000000001</v>
      </c>
      <c r="K32" t="str">
        <f ca="1"/>
        <v/>
      </c>
      <c r="L32" t="str">
        <f ca="1"/>
        <v/>
      </c>
      <c r="M32" t="str">
        <f ca="1"/>
        <v/>
      </c>
      <c r="N32" t="str">
        <f ca="1"/>
        <v/>
      </c>
      <c r="O32" t="str">
        <f ca="1"/>
        <v/>
      </c>
      <c r="P32" vm="768">
        <f ca="1"/>
        <v>226.5598</v>
      </c>
      <c r="Q32" t="str">
        <f ca="1"/>
        <v/>
      </c>
      <c r="R32" vm="769">
        <f ca="1"/>
        <v>4.6459999999999999</v>
      </c>
      <c r="S32" vm="770">
        <f ca="1"/>
        <v>87.16</v>
      </c>
      <c r="T32" t="str">
        <f ca="1"/>
        <v/>
      </c>
      <c r="U32" t="str">
        <f ca="1"/>
        <v/>
      </c>
      <c r="V32" t="str">
        <f ca="1"/>
        <v/>
      </c>
      <c r="W32" t="str">
        <f ca="1"/>
        <v/>
      </c>
      <c r="X32" t="str">
        <f ca="1"/>
        <v/>
      </c>
      <c r="Y32" vm="771">
        <f ca="1"/>
        <v>107.85129999999999</v>
      </c>
      <c r="Z32" t="str">
        <f ca="1"/>
        <v/>
      </c>
      <c r="AA32" t="str">
        <f ca="1"/>
        <v/>
      </c>
      <c r="AB32" vm="772">
        <f ca="1"/>
        <v>13.25</v>
      </c>
      <c r="AC32" vm="773">
        <f ca="1"/>
        <v>22.36</v>
      </c>
      <c r="AD32" t="str">
        <f ca="1"/>
        <v/>
      </c>
      <c r="AE32" t="str">
        <f ca="1"/>
        <v/>
      </c>
      <c r="AF32" t="str">
        <f ca="1"/>
        <v/>
      </c>
      <c r="AG32" t="str">
        <f ca="1"/>
        <v/>
      </c>
      <c r="AH32" t="str">
        <f ca="1"/>
        <v/>
      </c>
      <c r="AI32" t="str">
        <f ca="1"/>
        <v/>
      </c>
      <c r="AJ32" vm="774">
        <f ca="1"/>
        <v>114.5</v>
      </c>
      <c r="AK32" vm="775">
        <f ca="1"/>
        <v>1029.2357999999999</v>
      </c>
      <c r="AL32" vm="776">
        <f ca="1"/>
        <v>156.5489</v>
      </c>
      <c r="AM32" t="str">
        <f ca="1"/>
        <v/>
      </c>
      <c r="AN32" t="str">
        <f ca="1"/>
        <v/>
      </c>
      <c r="AO32" vm="491">
        <f ca="1"/>
        <v>399</v>
      </c>
    </row>
    <row r="33" spans="1:41" x14ac:dyDescent="0.4">
      <c r="A33" s="1">
        <f ca="1"/>
        <v>46023</v>
      </c>
      <c r="B33" t="str">
        <f ca="1"/>
        <v/>
      </c>
      <c r="C33" t="str">
        <f ca="1"/>
        <v/>
      </c>
      <c r="D33" t="str">
        <f ca="1"/>
        <v/>
      </c>
      <c r="E33" t="str">
        <f ca="1"/>
        <v/>
      </c>
      <c r="F33" t="str">
        <f ca="1"/>
        <v/>
      </c>
      <c r="G33" t="str">
        <f ca="1"/>
        <v/>
      </c>
      <c r="H33" t="str">
        <f ca="1"/>
        <v/>
      </c>
      <c r="I33" t="str">
        <f ca="1"/>
        <v/>
      </c>
      <c r="J33" t="str">
        <f ca="1"/>
        <v/>
      </c>
      <c r="K33" t="str">
        <f ca="1"/>
        <v/>
      </c>
      <c r="L33" t="str">
        <f ca="1"/>
        <v/>
      </c>
      <c r="M33" t="str">
        <f ca="1"/>
        <v/>
      </c>
      <c r="N33" t="str">
        <f ca="1"/>
        <v/>
      </c>
      <c r="O33" t="str">
        <f ca="1"/>
        <v/>
      </c>
      <c r="P33" t="str">
        <f ca="1"/>
        <v/>
      </c>
      <c r="Q33" t="str">
        <f ca="1"/>
        <v/>
      </c>
      <c r="R33" t="str">
        <f ca="1"/>
        <v/>
      </c>
      <c r="S33" t="str">
        <f ca="1"/>
        <v/>
      </c>
      <c r="T33" t="str">
        <f ca="1"/>
        <v/>
      </c>
      <c r="U33" t="str">
        <f ca="1"/>
        <v/>
      </c>
      <c r="V33" t="str">
        <f ca="1"/>
        <v/>
      </c>
      <c r="W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c r="AL33" t="str">
        <f ca="1"/>
        <v/>
      </c>
      <c r="AM33" t="str">
        <f ca="1"/>
        <v/>
      </c>
      <c r="AN33" t="str">
        <f ca="1"/>
        <v/>
      </c>
      <c r="AO33" t="str">
        <f ca="1"/>
        <v/>
      </c>
    </row>
    <row r="34" spans="1:41" x14ac:dyDescent="0.4">
      <c r="A34" s="1">
        <f ca="1"/>
        <v>46024</v>
      </c>
      <c r="B34" vm="192">
        <f ca="1"/>
        <v>11.202</v>
      </c>
      <c r="C34" vm="777">
        <f ca="1"/>
        <v>111.32</v>
      </c>
      <c r="D34" vm="778">
        <f ca="1"/>
        <v>170.5462</v>
      </c>
      <c r="E34" vm="779">
        <f ca="1"/>
        <v>587.39520000000005</v>
      </c>
      <c r="F34" vm="780">
        <f ca="1"/>
        <v>20.34</v>
      </c>
      <c r="G34" vm="781">
        <f ca="1"/>
        <v>258.34899999999999</v>
      </c>
      <c r="H34" vm="782">
        <f ca="1"/>
        <v>629.9905</v>
      </c>
      <c r="I34" vm="783">
        <f ca="1"/>
        <v>70.11</v>
      </c>
      <c r="J34" vm="784">
        <f ca="1"/>
        <v>137.61699999999999</v>
      </c>
      <c r="K34" vm="785">
        <f ca="1"/>
        <v>230.78039999999999</v>
      </c>
      <c r="L34" vm="786">
        <f ca="1"/>
        <v>866.06</v>
      </c>
      <c r="M34" vm="787">
        <f ca="1"/>
        <v>53.23</v>
      </c>
      <c r="N34" vm="788">
        <f ca="1"/>
        <v>23.21</v>
      </c>
      <c r="O34" vm="789">
        <f ca="1"/>
        <v>154.27000000000001</v>
      </c>
      <c r="P34" vm="790">
        <f ca="1"/>
        <v>230.04849999999999</v>
      </c>
      <c r="Q34" vm="791">
        <f ca="1"/>
        <v>2.7378999999999998</v>
      </c>
      <c r="R34" vm="792">
        <f ca="1"/>
        <v>4.5945</v>
      </c>
      <c r="S34" vm="793">
        <f ca="1"/>
        <v>87.03</v>
      </c>
      <c r="T34" vm="794">
        <f ca="1"/>
        <v>4.4805999999999999</v>
      </c>
      <c r="U34" vm="795">
        <f ca="1"/>
        <v>246.37</v>
      </c>
      <c r="V34" vm="796">
        <f ca="1"/>
        <v>262.3528</v>
      </c>
      <c r="W34" vm="797">
        <f ca="1"/>
        <v>158.16</v>
      </c>
      <c r="X34" vm="798">
        <f ca="1"/>
        <v>291.82670000000002</v>
      </c>
      <c r="Y34" vm="799">
        <f ca="1"/>
        <v>107.76009999999999</v>
      </c>
      <c r="Z34" vm="800">
        <f ca="1"/>
        <v>212.947</v>
      </c>
      <c r="AA34" vm="801">
        <f ca="1"/>
        <v>12.811999999999999</v>
      </c>
      <c r="AB34" vm="802">
        <f ca="1"/>
        <v>13.28</v>
      </c>
      <c r="AC34" vm="633">
        <f ca="1"/>
        <v>22.39</v>
      </c>
      <c r="AD34" vm="803">
        <f ca="1"/>
        <v>146.65</v>
      </c>
      <c r="AE34" vm="804">
        <f ca="1"/>
        <v>123.12</v>
      </c>
      <c r="AF34" vm="805">
        <f ca="1"/>
        <v>145.74</v>
      </c>
      <c r="AG34" vm="806">
        <f ca="1"/>
        <v>353.94</v>
      </c>
      <c r="AH34" vm="807">
        <f ca="1"/>
        <v>351.54</v>
      </c>
      <c r="AI34" vm="808">
        <f ca="1"/>
        <v>118.22</v>
      </c>
      <c r="AJ34" vm="809">
        <f ca="1"/>
        <v>114.39</v>
      </c>
      <c r="AK34" vm="810">
        <f ca="1"/>
        <v>1030.0997</v>
      </c>
      <c r="AL34" t="str">
        <f ca="1"/>
        <v/>
      </c>
      <c r="AM34" vm="811">
        <f ca="1"/>
        <v>125.22</v>
      </c>
      <c r="AN34" vm="812">
        <f ca="1"/>
        <v>141.47999999999999</v>
      </c>
      <c r="AO34" vm="229">
        <f ca="1"/>
        <v>401</v>
      </c>
    </row>
    <row r="35" spans="1:41" x14ac:dyDescent="0.4">
      <c r="A35" s="1">
        <f ca="1"/>
        <v>46025</v>
      </c>
      <c r="B35" t="str">
        <f ca="1"/>
        <v/>
      </c>
      <c r="C35" t="str">
        <f ca="1"/>
        <v/>
      </c>
      <c r="D35" t="str">
        <f ca="1"/>
        <v/>
      </c>
      <c r="E35" t="str">
        <f ca="1"/>
        <v/>
      </c>
      <c r="F35" t="str">
        <f ca="1"/>
        <v/>
      </c>
      <c r="G35" t="str">
        <f ca="1"/>
        <v/>
      </c>
      <c r="H35" t="str">
        <f ca="1"/>
        <v/>
      </c>
      <c r="I35" t="str">
        <f ca="1"/>
        <v/>
      </c>
      <c r="J35" t="str">
        <f ca="1"/>
        <v/>
      </c>
      <c r="K35" t="str">
        <f ca="1"/>
        <v/>
      </c>
      <c r="L35" t="str">
        <f ca="1"/>
        <v/>
      </c>
      <c r="M35" t="str">
        <f ca="1"/>
        <v/>
      </c>
      <c r="N35" t="str">
        <f ca="1"/>
        <v/>
      </c>
      <c r="O35" t="str">
        <f ca="1"/>
        <v/>
      </c>
      <c r="P35" t="str">
        <f ca="1"/>
        <v/>
      </c>
      <c r="Q35" t="str">
        <f ca="1"/>
        <v/>
      </c>
      <c r="R35" t="str">
        <f ca="1"/>
        <v/>
      </c>
      <c r="S35" t="str">
        <f ca="1"/>
        <v/>
      </c>
      <c r="T35" t="str">
        <f ca="1"/>
        <v/>
      </c>
      <c r="U35" t="str">
        <f ca="1"/>
        <v/>
      </c>
      <c r="V35" t="str">
        <f ca="1"/>
        <v/>
      </c>
      <c r="W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c r="AL35" t="str">
        <f ca="1"/>
        <v/>
      </c>
      <c r="AM35" t="str">
        <f ca="1"/>
        <v/>
      </c>
      <c r="AN35" t="str">
        <f ca="1"/>
        <v/>
      </c>
      <c r="AO35" t="str">
        <f ca="1"/>
        <v/>
      </c>
    </row>
    <row r="36" spans="1:41" x14ac:dyDescent="0.4">
      <c r="A36" s="1">
        <f ca="1"/>
        <v>46026</v>
      </c>
      <c r="B36" t="str">
        <f ca="1"/>
        <v/>
      </c>
      <c r="C36" t="str">
        <f ca="1"/>
        <v/>
      </c>
      <c r="D36" t="str">
        <f ca="1"/>
        <v/>
      </c>
      <c r="E36" t="str">
        <f ca="1"/>
        <v/>
      </c>
      <c r="F36" t="str">
        <f ca="1"/>
        <v/>
      </c>
      <c r="G36" t="str">
        <f ca="1"/>
        <v/>
      </c>
      <c r="H36" t="str">
        <f ca="1"/>
        <v/>
      </c>
      <c r="I36" t="str">
        <f ca="1"/>
        <v/>
      </c>
      <c r="J36" t="str">
        <f ca="1"/>
        <v/>
      </c>
      <c r="K36" t="str">
        <f ca="1"/>
        <v/>
      </c>
      <c r="L36" t="str">
        <f ca="1"/>
        <v/>
      </c>
      <c r="M36" t="str">
        <f ca="1"/>
        <v/>
      </c>
      <c r="N36" t="str">
        <f ca="1"/>
        <v/>
      </c>
      <c r="O36" t="str">
        <f ca="1"/>
        <v/>
      </c>
      <c r="P36" t="str">
        <f ca="1"/>
        <v/>
      </c>
      <c r="Q36" t="str">
        <f ca="1"/>
        <v/>
      </c>
      <c r="R36" t="str">
        <f ca="1"/>
        <v/>
      </c>
      <c r="S36" t="str">
        <f ca="1"/>
        <v/>
      </c>
      <c r="T36" t="str">
        <f ca="1"/>
        <v/>
      </c>
      <c r="U36" t="str">
        <f ca="1"/>
        <v/>
      </c>
      <c r="V36" t="str">
        <f ca="1"/>
        <v/>
      </c>
      <c r="W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c r="AL36" t="str">
        <f ca="1"/>
        <v/>
      </c>
      <c r="AM36" t="str">
        <f ca="1"/>
        <v/>
      </c>
      <c r="AN36" t="str">
        <f ca="1"/>
        <v/>
      </c>
      <c r="AO36" t="str">
        <f ca="1"/>
        <v/>
      </c>
    </row>
    <row r="37" spans="1:41" x14ac:dyDescent="0.4">
      <c r="A37" s="1">
        <f ca="1"/>
        <v>46027</v>
      </c>
      <c r="B37" vm="813">
        <f ca="1"/>
        <v>11.348000000000001</v>
      </c>
      <c r="C37" vm="814">
        <f ca="1"/>
        <v>112.745</v>
      </c>
      <c r="D37" vm="815">
        <f ca="1"/>
        <v>171.3074</v>
      </c>
      <c r="E37" vm="816">
        <f ca="1"/>
        <v>589.79899999999998</v>
      </c>
      <c r="F37" vm="817">
        <f ca="1"/>
        <v>20.695</v>
      </c>
      <c r="G37" vm="818">
        <f ca="1"/>
        <v>257.44080000000002</v>
      </c>
      <c r="H37" vm="819">
        <f ca="1"/>
        <v>630.61360000000002</v>
      </c>
      <c r="I37" vm="820">
        <f ca="1"/>
        <v>71.55</v>
      </c>
      <c r="J37" vm="821">
        <f ca="1"/>
        <v>137.0624</v>
      </c>
      <c r="K37" vm="822">
        <f ca="1"/>
        <v>231.5675</v>
      </c>
      <c r="L37" vm="823">
        <f ca="1"/>
        <v>868.7</v>
      </c>
      <c r="M37" vm="824">
        <f ca="1"/>
        <v>53.67</v>
      </c>
      <c r="N37" vm="825">
        <f ca="1"/>
        <v>23.125</v>
      </c>
      <c r="O37" vm="826">
        <f ca="1"/>
        <v>156.69999999999999</v>
      </c>
      <c r="P37" vm="827">
        <f ca="1"/>
        <v>233.39879999999999</v>
      </c>
      <c r="Q37" vm="828">
        <f ca="1"/>
        <v>2.75</v>
      </c>
      <c r="R37" vm="245">
        <f ca="1"/>
        <v>4.5999999999999996</v>
      </c>
      <c r="S37" vm="829">
        <f ca="1"/>
        <v>87.46</v>
      </c>
      <c r="T37" vm="830">
        <f ca="1"/>
        <v>4.5030999999999999</v>
      </c>
      <c r="U37" vm="831">
        <f ca="1"/>
        <v>248.06</v>
      </c>
      <c r="V37" vm="832">
        <f ca="1"/>
        <v>261.1592</v>
      </c>
      <c r="W37" vm="833">
        <f ca="1"/>
        <v>158</v>
      </c>
      <c r="X37" vm="834">
        <f ca="1"/>
        <v>290.54020000000003</v>
      </c>
      <c r="Y37" vm="835">
        <f ca="1"/>
        <v>107.8892</v>
      </c>
      <c r="Z37" vm="836">
        <f ca="1"/>
        <v>213.19900000000001</v>
      </c>
      <c r="AA37" vm="837">
        <f ca="1"/>
        <v>12.968</v>
      </c>
      <c r="AB37" vm="838">
        <f ca="1"/>
        <v>13.53</v>
      </c>
      <c r="AC37" vm="445">
        <f ca="1"/>
        <v>22.81</v>
      </c>
      <c r="AD37" vm="839">
        <f ca="1"/>
        <v>146.38999999999999</v>
      </c>
      <c r="AE37" vm="840">
        <f ca="1"/>
        <v>123.08</v>
      </c>
      <c r="AF37" vm="841">
        <f ca="1"/>
        <v>150.38999999999999</v>
      </c>
      <c r="AG37" vm="842">
        <f ca="1"/>
        <v>365.22</v>
      </c>
      <c r="AH37" vm="843">
        <f ca="1"/>
        <v>363.02</v>
      </c>
      <c r="AI37" vm="378">
        <f ca="1"/>
        <v>121.98</v>
      </c>
      <c r="AJ37" vm="844">
        <f ca="1"/>
        <v>113.95</v>
      </c>
      <c r="AK37" vm="845">
        <f ca="1"/>
        <v>1031.8333</v>
      </c>
      <c r="AL37" t="str">
        <f ca="1"/>
        <v/>
      </c>
      <c r="AM37" vm="846">
        <f ca="1"/>
        <v>125.42</v>
      </c>
      <c r="AN37" vm="847">
        <f ca="1"/>
        <v>141.69999999999999</v>
      </c>
      <c r="AO37" vm="764">
        <f ca="1"/>
        <v>400</v>
      </c>
    </row>
    <row r="38" spans="1:41" x14ac:dyDescent="0.4">
      <c r="A38" s="1">
        <f ca="1"/>
        <v>46028</v>
      </c>
      <c r="B38" vm="848">
        <f ca="1"/>
        <v>11.394</v>
      </c>
      <c r="C38" vm="849">
        <f ca="1"/>
        <v>113.11499999999999</v>
      </c>
      <c r="D38" t="str">
        <f ca="1"/>
        <v/>
      </c>
      <c r="E38" t="str">
        <f ca="1"/>
        <v/>
      </c>
      <c r="F38" vm="850">
        <f ca="1"/>
        <v>20.945</v>
      </c>
      <c r="G38" t="str">
        <f ca="1"/>
        <v/>
      </c>
      <c r="H38" t="str">
        <f ca="1"/>
        <v/>
      </c>
      <c r="I38" vm="851">
        <f ca="1"/>
        <v>71.739999999999995</v>
      </c>
      <c r="J38" t="str">
        <f ca="1"/>
        <v/>
      </c>
      <c r="K38" t="str">
        <f ca="1"/>
        <v/>
      </c>
      <c r="L38" t="str">
        <f ca="1"/>
        <v/>
      </c>
      <c r="M38" vm="852">
        <f ca="1"/>
        <v>54.11</v>
      </c>
      <c r="N38" vm="853">
        <f ca="1"/>
        <v>23.76</v>
      </c>
      <c r="O38" t="str">
        <f ca="1"/>
        <v/>
      </c>
      <c r="P38" t="str">
        <f ca="1"/>
        <v/>
      </c>
      <c r="Q38" vm="854">
        <f ca="1"/>
        <v>2.7486999999999999</v>
      </c>
      <c r="R38" vm="855">
        <f ca="1"/>
        <v>4.5834999999999999</v>
      </c>
      <c r="S38" vm="856">
        <f ca="1"/>
        <v>87.28</v>
      </c>
      <c r="T38" vm="510">
        <f ca="1"/>
        <v>4.5232999999999999</v>
      </c>
      <c r="U38" vm="857">
        <f ca="1"/>
        <v>249.21</v>
      </c>
      <c r="V38" t="str">
        <f ca="1"/>
        <v/>
      </c>
      <c r="W38" t="str">
        <f ca="1"/>
        <v/>
      </c>
      <c r="X38" t="str">
        <f ca="1"/>
        <v/>
      </c>
      <c r="Y38" t="str">
        <f ca="1"/>
        <v/>
      </c>
      <c r="Z38" vm="858">
        <f ca="1"/>
        <v>213.334</v>
      </c>
      <c r="AA38" vm="859">
        <f ca="1"/>
        <v>13.118</v>
      </c>
      <c r="AB38" vm="860">
        <f ca="1"/>
        <v>13.54</v>
      </c>
      <c r="AC38" vm="861">
        <f ca="1"/>
        <v>22.8</v>
      </c>
      <c r="AD38" t="str">
        <f ca="1"/>
        <v/>
      </c>
      <c r="AE38" t="str">
        <f ca="1"/>
        <v/>
      </c>
      <c r="AF38" vm="862">
        <f ca="1"/>
        <v>152.16</v>
      </c>
      <c r="AG38" vm="863">
        <f ca="1"/>
        <v>369.46</v>
      </c>
      <c r="AH38" vm="864">
        <f ca="1"/>
        <v>367.12</v>
      </c>
      <c r="AI38" vm="865">
        <f ca="1"/>
        <v>123.44</v>
      </c>
      <c r="AJ38" vm="866">
        <f ca="1"/>
        <v>113.9</v>
      </c>
      <c r="AK38" t="str">
        <f ca="1"/>
        <v/>
      </c>
      <c r="AL38" t="str">
        <f ca="1"/>
        <v/>
      </c>
      <c r="AM38" vm="867">
        <f ca="1"/>
        <v>125.86</v>
      </c>
      <c r="AN38" vm="847">
        <f ca="1"/>
        <v>141.69999999999999</v>
      </c>
      <c r="AO38" vm="267">
        <f ca="1"/>
        <v>401.5</v>
      </c>
    </row>
    <row r="39" spans="1:41" x14ac:dyDescent="0.4">
      <c r="A39" s="1">
        <f ca="1"/>
        <v>46029</v>
      </c>
      <c r="B39" vm="868">
        <f ca="1"/>
        <v>11.42</v>
      </c>
      <c r="C39" vm="869">
        <f ca="1"/>
        <v>113.47499999999999</v>
      </c>
      <c r="D39" vm="870">
        <f ca="1"/>
        <v>175.1661</v>
      </c>
      <c r="E39" vm="871">
        <f ca="1"/>
        <v>603.05160000000001</v>
      </c>
      <c r="F39" vm="872">
        <f ca="1"/>
        <v>21.01</v>
      </c>
      <c r="G39" vm="873">
        <f ca="1"/>
        <v>258.81779999999998</v>
      </c>
      <c r="H39" vm="874">
        <f ca="1"/>
        <v>636.399</v>
      </c>
      <c r="I39" vm="875">
        <f ca="1"/>
        <v>72.02</v>
      </c>
      <c r="J39" vm="876">
        <f ca="1"/>
        <v>139.1447</v>
      </c>
      <c r="K39" vm="877">
        <f ca="1"/>
        <v>239.07810000000001</v>
      </c>
      <c r="L39" vm="878">
        <f ca="1"/>
        <v>898.11</v>
      </c>
      <c r="M39" vm="879">
        <f ca="1"/>
        <v>54.12</v>
      </c>
      <c r="N39" vm="880">
        <f ca="1"/>
        <v>23.675000000000001</v>
      </c>
      <c r="O39" vm="101">
        <f ca="1"/>
        <v>157.59</v>
      </c>
      <c r="P39" vm="881">
        <f ca="1"/>
        <v>234.63659999999999</v>
      </c>
      <c r="Q39" vm="882">
        <f ca="1"/>
        <v>2.7738</v>
      </c>
      <c r="R39" vm="883">
        <f ca="1"/>
        <v>4.6280000000000001</v>
      </c>
      <c r="S39" vm="884">
        <f ca="1"/>
        <v>87.79</v>
      </c>
      <c r="T39" vm="885">
        <f ca="1"/>
        <v>4.5575000000000001</v>
      </c>
      <c r="U39" vm="886">
        <f ca="1"/>
        <v>251.07</v>
      </c>
      <c r="V39" vm="887">
        <f ca="1"/>
        <v>263.15910000000002</v>
      </c>
      <c r="W39" vm="888">
        <f ca="1"/>
        <v>158.30000000000001</v>
      </c>
      <c r="X39" vm="889">
        <f ca="1"/>
        <v>292.66300000000001</v>
      </c>
      <c r="Y39" vm="890">
        <f ca="1"/>
        <v>108.0762</v>
      </c>
      <c r="Z39" vm="891">
        <f ca="1"/>
        <v>213.411</v>
      </c>
      <c r="AA39" vm="892">
        <f ca="1"/>
        <v>12.988</v>
      </c>
      <c r="AB39" vm="893">
        <f ca="1"/>
        <v>13.41</v>
      </c>
      <c r="AC39" vm="894">
        <f ca="1"/>
        <v>22.59</v>
      </c>
      <c r="AD39" vm="69">
        <f ca="1"/>
        <v>146.69999999999999</v>
      </c>
      <c r="AE39" vm="895">
        <f ca="1"/>
        <v>123.39</v>
      </c>
      <c r="AF39" vm="896">
        <f ca="1"/>
        <v>151.37</v>
      </c>
      <c r="AG39" vm="897">
        <f ca="1"/>
        <v>367.56</v>
      </c>
      <c r="AH39" vm="898">
        <f ca="1"/>
        <v>365.36</v>
      </c>
      <c r="AI39" vm="899">
        <f ca="1"/>
        <v>122.8</v>
      </c>
      <c r="AJ39" vm="900">
        <f ca="1"/>
        <v>114.34</v>
      </c>
      <c r="AK39" vm="901">
        <f ca="1"/>
        <v>1033.0177000000001</v>
      </c>
      <c r="AL39" t="str">
        <f ca="1"/>
        <v/>
      </c>
      <c r="AM39" vm="902">
        <f ca="1"/>
        <v>126.52</v>
      </c>
      <c r="AN39" vm="903">
        <f ca="1"/>
        <v>142.28</v>
      </c>
      <c r="AO39" vm="380">
        <f ca="1"/>
        <v>402.5</v>
      </c>
    </row>
    <row r="40" spans="1:41" x14ac:dyDescent="0.4">
      <c r="A40" s="1">
        <f ca="1"/>
        <v>46030</v>
      </c>
      <c r="B40" vm="904">
        <f ca="1"/>
        <v>11.396000000000001</v>
      </c>
      <c r="C40" vm="905">
        <f ca="1"/>
        <v>113.255</v>
      </c>
      <c r="D40" vm="906">
        <f ca="1"/>
        <v>173.54239999999999</v>
      </c>
      <c r="E40" vm="907">
        <f ca="1"/>
        <v>597.03189999999995</v>
      </c>
      <c r="F40" vm="908">
        <f ca="1"/>
        <v>21.13</v>
      </c>
      <c r="G40" vm="909">
        <f ca="1"/>
        <v>258.25560000000002</v>
      </c>
      <c r="H40" vm="910">
        <f ca="1"/>
        <v>633.32799999999997</v>
      </c>
      <c r="I40" vm="911">
        <f ca="1"/>
        <v>71.22</v>
      </c>
      <c r="J40" vm="912">
        <f ca="1"/>
        <v>137.74600000000001</v>
      </c>
      <c r="K40" vm="913">
        <f ca="1"/>
        <v>235.56129999999999</v>
      </c>
      <c r="L40" vm="914">
        <f ca="1"/>
        <v>885.15</v>
      </c>
      <c r="M40" vm="915">
        <f ca="1"/>
        <v>53.9</v>
      </c>
      <c r="N40" vm="916">
        <f ca="1"/>
        <v>23.53</v>
      </c>
      <c r="O40" vm="917">
        <f ca="1"/>
        <v>157.13999999999999</v>
      </c>
      <c r="P40" vm="918">
        <f ca="1"/>
        <v>234.04409999999999</v>
      </c>
      <c r="Q40" vm="919">
        <f ca="1"/>
        <v>2.7703000000000002</v>
      </c>
      <c r="R40" vm="920">
        <f ca="1"/>
        <v>4.6064999999999996</v>
      </c>
      <c r="S40" vm="921">
        <f ca="1"/>
        <v>87.35</v>
      </c>
      <c r="T40" vm="922">
        <f ca="1"/>
        <v>4.5364000000000004</v>
      </c>
      <c r="U40" vm="923">
        <f ca="1"/>
        <v>250.07</v>
      </c>
      <c r="V40" vm="924">
        <f ca="1"/>
        <v>263.40230000000003</v>
      </c>
      <c r="W40" vm="925">
        <f ca="1"/>
        <v>158.31</v>
      </c>
      <c r="X40" vm="926">
        <f ca="1"/>
        <v>292.68400000000003</v>
      </c>
      <c r="Y40" vm="927">
        <f ca="1"/>
        <v>107.9224</v>
      </c>
      <c r="Z40" vm="928">
        <f ca="1"/>
        <v>213.40899999999999</v>
      </c>
      <c r="AA40" vm="929">
        <f ca="1"/>
        <v>13.028</v>
      </c>
      <c r="AB40" vm="930">
        <f ca="1"/>
        <v>13.56</v>
      </c>
      <c r="AC40" vm="931">
        <f ca="1"/>
        <v>22.88</v>
      </c>
      <c r="AD40" vm="446">
        <f ca="1"/>
        <v>146.36000000000001</v>
      </c>
      <c r="AE40" vm="932">
        <f ca="1"/>
        <v>123.47</v>
      </c>
      <c r="AF40" vm="933">
        <f ca="1"/>
        <v>151.74</v>
      </c>
      <c r="AG40" vm="934">
        <f ca="1"/>
        <v>368.42</v>
      </c>
      <c r="AH40" vm="935">
        <f ca="1"/>
        <v>366.2</v>
      </c>
      <c r="AI40" vm="936">
        <f ca="1"/>
        <v>123.06</v>
      </c>
      <c r="AJ40" vm="937">
        <f ca="1"/>
        <v>114.53</v>
      </c>
      <c r="AK40" vm="938">
        <f ca="1"/>
        <v>1032.6586</v>
      </c>
      <c r="AL40" t="str">
        <f ca="1"/>
        <v/>
      </c>
      <c r="AM40" vm="939">
        <f ca="1"/>
        <v>126.72</v>
      </c>
      <c r="AN40" vm="940">
        <f ca="1"/>
        <v>142.62</v>
      </c>
      <c r="AO40" vm="941">
        <f ca="1"/>
        <v>404</v>
      </c>
    </row>
    <row r="41" spans="1:41" x14ac:dyDescent="0.4">
      <c r="A41" s="1">
        <f ca="1"/>
        <v>46031</v>
      </c>
      <c r="B41" vm="942">
        <f ca="1"/>
        <v>11.49</v>
      </c>
      <c r="C41" vm="943">
        <f ca="1"/>
        <v>114.19</v>
      </c>
      <c r="D41" vm="944">
        <f ca="1"/>
        <v>175.5806</v>
      </c>
      <c r="E41" vm="945">
        <f ca="1"/>
        <v>603.05960000000005</v>
      </c>
      <c r="F41" vm="946">
        <f ca="1"/>
        <v>21.324999999999999</v>
      </c>
      <c r="G41" vm="947">
        <f ca="1"/>
        <v>259.5181</v>
      </c>
      <c r="H41" vm="948">
        <f ca="1"/>
        <v>639.47460000000001</v>
      </c>
      <c r="I41" vm="949">
        <f ca="1"/>
        <v>72.22</v>
      </c>
      <c r="J41" vm="950">
        <f ca="1"/>
        <v>138.74539999999999</v>
      </c>
      <c r="K41" vm="951">
        <f ca="1"/>
        <v>238.5487</v>
      </c>
      <c r="L41" vm="952">
        <f ca="1"/>
        <v>896.95</v>
      </c>
      <c r="M41" vm="953">
        <f ca="1"/>
        <v>54.69</v>
      </c>
      <c r="N41" vm="954">
        <f ca="1"/>
        <v>23.7</v>
      </c>
      <c r="O41" vm="955">
        <f ca="1"/>
        <v>156.96</v>
      </c>
      <c r="P41" vm="956">
        <f ca="1"/>
        <v>233.61199999999999</v>
      </c>
      <c r="Q41" vm="957">
        <f ca="1"/>
        <v>2.7837999999999998</v>
      </c>
      <c r="R41" vm="958">
        <f ca="1"/>
        <v>4.62</v>
      </c>
      <c r="S41" vm="959">
        <f ca="1"/>
        <v>87.93</v>
      </c>
      <c r="T41" vm="960">
        <f ca="1"/>
        <v>4.5396999999999998</v>
      </c>
      <c r="U41" vm="961">
        <f ca="1"/>
        <v>250.6</v>
      </c>
      <c r="V41" vm="962">
        <f ca="1"/>
        <v>263.0025</v>
      </c>
      <c r="W41" vm="963">
        <f ca="1"/>
        <v>158.28</v>
      </c>
      <c r="X41" vm="964">
        <f ca="1"/>
        <v>292.61070000000001</v>
      </c>
      <c r="Y41" vm="965">
        <f ca="1"/>
        <v>107.9415</v>
      </c>
      <c r="Z41" vm="966">
        <f ca="1"/>
        <v>213.50399999999999</v>
      </c>
      <c r="AA41" vm="967">
        <f ca="1"/>
        <v>13.24</v>
      </c>
      <c r="AB41" vm="930">
        <f ca="1"/>
        <v>13.56</v>
      </c>
      <c r="AC41" vm="968">
        <f ca="1"/>
        <v>22.9</v>
      </c>
      <c r="AD41" vm="969">
        <f ca="1"/>
        <v>146.31</v>
      </c>
      <c r="AE41" vm="371">
        <f ca="1"/>
        <v>123.66</v>
      </c>
      <c r="AF41" vm="970">
        <f ca="1"/>
        <v>153.51</v>
      </c>
      <c r="AG41" vm="971">
        <f ca="1"/>
        <v>372.74</v>
      </c>
      <c r="AH41" vm="972">
        <f ca="1"/>
        <v>370.54</v>
      </c>
      <c r="AI41" vm="973">
        <f ca="1"/>
        <v>124.54</v>
      </c>
      <c r="AJ41" vm="974">
        <f ca="1"/>
        <v>113.94</v>
      </c>
      <c r="AK41" vm="975">
        <f ca="1"/>
        <v>1039.3853999999999</v>
      </c>
      <c r="AL41" t="str">
        <f ca="1"/>
        <v/>
      </c>
      <c r="AM41" vm="976">
        <f ca="1"/>
        <v>127.14</v>
      </c>
      <c r="AN41" vm="977">
        <f ca="1"/>
        <v>143</v>
      </c>
      <c r="AO41" vm="941">
        <f ca="1"/>
        <v>404</v>
      </c>
    </row>
    <row r="42" spans="1:41" x14ac:dyDescent="0.4">
      <c r="A42" s="1">
        <f ca="1"/>
        <v>46032</v>
      </c>
      <c r="B42" t="str">
        <f ca="1"/>
        <v/>
      </c>
      <c r="C42" t="str">
        <f ca="1"/>
        <v/>
      </c>
      <c r="D42" t="str">
        <f ca="1"/>
        <v/>
      </c>
      <c r="E42" t="str">
        <f ca="1"/>
        <v/>
      </c>
      <c r="F42" t="str">
        <f ca="1"/>
        <v/>
      </c>
      <c r="G42" t="str">
        <f ca="1"/>
        <v/>
      </c>
      <c r="H42" t="str">
        <f ca="1"/>
        <v/>
      </c>
      <c r="I42" t="str">
        <f ca="1"/>
        <v/>
      </c>
      <c r="J42" t="str">
        <f ca="1"/>
        <v/>
      </c>
      <c r="K42" t="str">
        <f ca="1"/>
        <v/>
      </c>
      <c r="L42" t="str">
        <f ca="1"/>
        <v/>
      </c>
      <c r="M42" t="str">
        <f ca="1"/>
        <v/>
      </c>
      <c r="N42" t="str">
        <f ca="1"/>
        <v/>
      </c>
      <c r="O42" t="str">
        <f ca="1"/>
        <v/>
      </c>
      <c r="P42" t="str">
        <f ca="1"/>
        <v/>
      </c>
      <c r="Q42" t="str">
        <f ca="1"/>
        <v/>
      </c>
      <c r="R42" t="str">
        <f ca="1"/>
        <v/>
      </c>
      <c r="S42" t="str">
        <f ca="1"/>
        <v/>
      </c>
      <c r="T42" t="str">
        <f ca="1"/>
        <v/>
      </c>
      <c r="U42" t="str">
        <f ca="1"/>
        <v/>
      </c>
      <c r="V42" t="str">
        <f ca="1"/>
        <v/>
      </c>
      <c r="W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c>
      <c r="AK42" t="str">
        <f ca="1"/>
        <v/>
      </c>
      <c r="AL42" t="str">
        <f ca="1"/>
        <v/>
      </c>
      <c r="AM42" t="str">
        <f ca="1"/>
        <v/>
      </c>
      <c r="AN42" t="str">
        <f ca="1"/>
        <v/>
      </c>
      <c r="AO42" t="str">
        <f ca="1"/>
        <v/>
      </c>
    </row>
    <row r="43" spans="1:41" x14ac:dyDescent="0.4">
      <c r="A43" s="1">
        <f ca="1"/>
        <v>46033</v>
      </c>
      <c r="B43" t="str">
        <f ca="1"/>
        <v/>
      </c>
      <c r="C43" t="str">
        <f ca="1"/>
        <v/>
      </c>
      <c r="D43" t="str">
        <f ca="1"/>
        <v/>
      </c>
      <c r="E43" t="str">
        <f ca="1"/>
        <v/>
      </c>
      <c r="F43" t="str">
        <f ca="1"/>
        <v/>
      </c>
      <c r="G43" t="str">
        <f ca="1"/>
        <v/>
      </c>
      <c r="H43" t="str">
        <f ca="1"/>
        <v/>
      </c>
      <c r="I43" t="str">
        <f ca="1"/>
        <v/>
      </c>
      <c r="J43" t="str">
        <f ca="1"/>
        <v/>
      </c>
      <c r="K43" t="str">
        <f ca="1"/>
        <v/>
      </c>
      <c r="L43" t="str">
        <f ca="1"/>
        <v/>
      </c>
      <c r="M43" t="str">
        <f ca="1"/>
        <v/>
      </c>
      <c r="N43" t="str">
        <f ca="1"/>
        <v/>
      </c>
      <c r="O43" t="str">
        <f ca="1"/>
        <v/>
      </c>
      <c r="P43" t="str">
        <f ca="1"/>
        <v/>
      </c>
      <c r="Q43" t="str">
        <f ca="1"/>
        <v/>
      </c>
      <c r="R43" t="str">
        <f ca="1"/>
        <v/>
      </c>
      <c r="S43" t="str">
        <f ca="1"/>
        <v/>
      </c>
      <c r="T43" t="str">
        <f ca="1"/>
        <v/>
      </c>
      <c r="U43" t="str">
        <f ca="1"/>
        <v/>
      </c>
      <c r="V43" t="str">
        <f ca="1"/>
        <v/>
      </c>
      <c r="W43" t="str">
        <f ca="1"/>
        <v/>
      </c>
      <c r="X43" t="str">
        <f ca="1"/>
        <v/>
      </c>
      <c r="Y43" t="str">
        <f ca="1"/>
        <v/>
      </c>
      <c r="Z43" t="str">
        <f ca="1"/>
        <v/>
      </c>
      <c r="AA43" t="str">
        <f ca="1"/>
        <v/>
      </c>
      <c r="AB43" t="str">
        <f ca="1"/>
        <v/>
      </c>
      <c r="AC43" t="str">
        <f ca="1"/>
        <v/>
      </c>
      <c r="AD43" t="str">
        <f ca="1"/>
        <v/>
      </c>
      <c r="AE43" t="str">
        <f ca="1"/>
        <v/>
      </c>
      <c r="AF43" t="str">
        <f ca="1"/>
        <v/>
      </c>
      <c r="AG43" t="str">
        <f ca="1"/>
        <v/>
      </c>
      <c r="AH43" t="str">
        <f ca="1"/>
        <v/>
      </c>
      <c r="AI43" t="str">
        <f ca="1"/>
        <v/>
      </c>
      <c r="AJ43" t="str">
        <f ca="1"/>
        <v/>
      </c>
      <c r="AK43" t="str">
        <f ca="1"/>
        <v/>
      </c>
      <c r="AL43" t="str">
        <f ca="1"/>
        <v/>
      </c>
      <c r="AM43" t="str">
        <f ca="1"/>
        <v/>
      </c>
      <c r="AN43" t="str">
        <f ca="1"/>
        <v/>
      </c>
      <c r="AO43" t="str">
        <f ca="1"/>
        <v/>
      </c>
    </row>
    <row r="44" spans="1:41" x14ac:dyDescent="0.4">
      <c r="A44" s="1">
        <f ca="1"/>
        <v>46034</v>
      </c>
      <c r="B44" vm="978">
        <f ca="1"/>
        <v>11.502000000000001</v>
      </c>
      <c r="C44" vm="979">
        <f ca="1"/>
        <v>114.17</v>
      </c>
      <c r="D44" vm="980">
        <f ca="1"/>
        <v>175.59569999999999</v>
      </c>
      <c r="E44" vm="981">
        <f ca="1"/>
        <v>602.85329999999999</v>
      </c>
      <c r="F44" vm="982">
        <f ca="1"/>
        <v>21.375</v>
      </c>
      <c r="G44" vm="983">
        <f ca="1"/>
        <v>259.52460000000002</v>
      </c>
      <c r="H44" vm="984">
        <f ca="1"/>
        <v>640.79700000000003</v>
      </c>
      <c r="I44" vm="985">
        <f ca="1"/>
        <v>72.42</v>
      </c>
      <c r="J44" vm="986">
        <f ca="1"/>
        <v>137.59389999999999</v>
      </c>
      <c r="K44" vm="987">
        <f ca="1"/>
        <v>237.52010000000001</v>
      </c>
      <c r="L44" vm="988">
        <f ca="1"/>
        <v>892.91</v>
      </c>
      <c r="M44" vm="989">
        <f ca="1"/>
        <v>54.56</v>
      </c>
      <c r="N44" vm="990">
        <f ca="1"/>
        <v>23.875</v>
      </c>
      <c r="O44" vm="174">
        <f ca="1"/>
        <v>157.68</v>
      </c>
      <c r="P44" vm="991">
        <f ca="1"/>
        <v>234.61869999999999</v>
      </c>
      <c r="Q44" vm="992">
        <f ca="1"/>
        <v>2.7677</v>
      </c>
      <c r="R44" vm="683">
        <f ca="1"/>
        <v>4.6154999999999999</v>
      </c>
      <c r="S44" vm="993">
        <f ca="1"/>
        <v>87.67</v>
      </c>
      <c r="T44" vm="994">
        <f ca="1"/>
        <v>4.5696000000000003</v>
      </c>
      <c r="U44" vm="995">
        <f ca="1"/>
        <v>251.94</v>
      </c>
      <c r="V44" vm="996">
        <f ca="1"/>
        <v>263.70929999999998</v>
      </c>
      <c r="W44" vm="997">
        <f ca="1"/>
        <v>158.41999999999999</v>
      </c>
      <c r="X44" vm="998">
        <f ca="1"/>
        <v>293.23899999999998</v>
      </c>
      <c r="Y44" vm="999">
        <f ca="1"/>
        <v>107.9666</v>
      </c>
      <c r="Z44" vm="1000">
        <f ca="1"/>
        <v>213.559</v>
      </c>
      <c r="AA44" vm="1001">
        <f ca="1"/>
        <v>13.256</v>
      </c>
      <c r="AB44" vm="67">
        <f ca="1"/>
        <v>13.76</v>
      </c>
      <c r="AC44" vm="180">
        <f ca="1"/>
        <v>23.19</v>
      </c>
      <c r="AD44" vm="1002">
        <f ca="1"/>
        <v>146.43</v>
      </c>
      <c r="AE44" vm="1003">
        <f ca="1"/>
        <v>123.76</v>
      </c>
      <c r="AF44" vm="1004">
        <f ca="1"/>
        <v>156.84</v>
      </c>
      <c r="AG44" vm="1005">
        <f ca="1"/>
        <v>380.82</v>
      </c>
      <c r="AH44" vm="1006">
        <f ca="1"/>
        <v>378.54</v>
      </c>
      <c r="AI44" vm="1007">
        <f ca="1"/>
        <v>127.19</v>
      </c>
      <c r="AJ44" vm="1008">
        <f ca="1"/>
        <v>113.63</v>
      </c>
      <c r="AK44" vm="1009">
        <f ca="1"/>
        <v>1039.8643999999999</v>
      </c>
      <c r="AL44" t="str">
        <f ca="1"/>
        <v/>
      </c>
      <c r="AM44" vm="1010">
        <f ca="1"/>
        <v>125.68</v>
      </c>
      <c r="AN44" vm="1011">
        <f ca="1"/>
        <v>141.91999999999999</v>
      </c>
      <c r="AO44" vm="764">
        <f ca="1"/>
        <v>400</v>
      </c>
    </row>
    <row r="45" spans="1:41" x14ac:dyDescent="0.4">
      <c r="A45" s="1">
        <f ca="1"/>
        <v>46035</v>
      </c>
      <c r="B45" vm="1012">
        <f ca="1"/>
        <v>11.516</v>
      </c>
      <c r="C45" vm="1013">
        <f ca="1"/>
        <v>114.345</v>
      </c>
      <c r="D45" vm="1014">
        <f ca="1"/>
        <v>175.4768</v>
      </c>
      <c r="E45" vm="1015">
        <f ca="1"/>
        <v>602.26900000000001</v>
      </c>
      <c r="F45" vm="1016">
        <f ca="1"/>
        <v>21.274999999999999</v>
      </c>
      <c r="G45" vm="1017">
        <f ca="1"/>
        <v>260.6592</v>
      </c>
      <c r="H45" vm="1018">
        <f ca="1"/>
        <v>641.15549999999996</v>
      </c>
      <c r="I45" vm="1019">
        <f ca="1"/>
        <v>73.010000000000005</v>
      </c>
      <c r="J45" vm="1020">
        <f ca="1"/>
        <v>137.01910000000001</v>
      </c>
      <c r="K45" vm="1021">
        <f ca="1"/>
        <v>238.19300000000001</v>
      </c>
      <c r="L45" vm="1022">
        <f ca="1"/>
        <v>891.8</v>
      </c>
      <c r="M45" vm="1023">
        <f ca="1"/>
        <v>54.66</v>
      </c>
      <c r="N45" vm="1024">
        <f ca="1"/>
        <v>23.945</v>
      </c>
      <c r="O45" vm="1025">
        <f ca="1"/>
        <v>158.85</v>
      </c>
      <c r="P45" vm="1026">
        <f ca="1"/>
        <v>236.13849999999999</v>
      </c>
      <c r="Q45" vm="1027">
        <f ca="1"/>
        <v>2.7774000000000001</v>
      </c>
      <c r="R45" vm="1028">
        <f ca="1"/>
        <v>4.6180000000000003</v>
      </c>
      <c r="S45" vm="1029">
        <f ca="1"/>
        <v>87.82</v>
      </c>
      <c r="T45" vm="1030">
        <f ca="1"/>
        <v>4.5549999999999997</v>
      </c>
      <c r="U45" vm="1031">
        <f ca="1"/>
        <v>251.13</v>
      </c>
      <c r="V45" vm="1032">
        <f ca="1"/>
        <v>263.84280000000001</v>
      </c>
      <c r="W45" vm="1033">
        <f ca="1"/>
        <v>158.51</v>
      </c>
      <c r="X45" vm="1034">
        <f ca="1"/>
        <v>293.4427</v>
      </c>
      <c r="Y45" vm="1035">
        <f ca="1"/>
        <v>108.0243</v>
      </c>
      <c r="Z45" vm="1036">
        <f ca="1"/>
        <v>213.64599999999999</v>
      </c>
      <c r="AA45" vm="1037">
        <f ca="1"/>
        <v>13.398</v>
      </c>
      <c r="AB45" vm="1038">
        <f ca="1"/>
        <v>13.86</v>
      </c>
      <c r="AC45" vm="1039">
        <f ca="1"/>
        <v>23.37</v>
      </c>
      <c r="AD45" vm="1040">
        <f ca="1"/>
        <v>146.4</v>
      </c>
      <c r="AE45" vm="1041">
        <f ca="1"/>
        <v>123.78</v>
      </c>
      <c r="AF45" vm="1042">
        <f ca="1"/>
        <v>156.74</v>
      </c>
      <c r="AG45" vm="1043">
        <f ca="1"/>
        <v>380.58</v>
      </c>
      <c r="AH45" vm="1044">
        <f ca="1"/>
        <v>378.28</v>
      </c>
      <c r="AI45" vm="976">
        <f ca="1"/>
        <v>127.14</v>
      </c>
      <c r="AJ45" vm="1045">
        <f ca="1"/>
        <v>114.01</v>
      </c>
      <c r="AK45" vm="1046">
        <f ca="1"/>
        <v>1041.8158000000001</v>
      </c>
      <c r="AL45" t="str">
        <f ca="1"/>
        <v/>
      </c>
      <c r="AM45" vm="1047">
        <f ca="1"/>
        <v>124.46</v>
      </c>
      <c r="AN45" vm="1048">
        <f ca="1"/>
        <v>141.72</v>
      </c>
      <c r="AO45" vm="764">
        <f ca="1"/>
        <v>400</v>
      </c>
    </row>
    <row r="46" spans="1:41" x14ac:dyDescent="0.4">
      <c r="A46" s="1">
        <f ca="1"/>
        <v>46036</v>
      </c>
      <c r="B46" vm="1049">
        <f ca="1"/>
        <v>11.55</v>
      </c>
      <c r="C46" vm="1050">
        <f ca="1"/>
        <v>113.59</v>
      </c>
      <c r="D46" vm="1051">
        <f ca="1"/>
        <v>175.23570000000001</v>
      </c>
      <c r="E46" vm="1052">
        <f ca="1"/>
        <v>602.36829999999998</v>
      </c>
      <c r="F46" vm="1053">
        <f ca="1"/>
        <v>21.46</v>
      </c>
      <c r="G46" vm="1054">
        <f ca="1"/>
        <v>262.03680000000003</v>
      </c>
      <c r="H46" vm="1055">
        <f ca="1"/>
        <v>643.76829999999995</v>
      </c>
      <c r="I46" vm="1056">
        <f ca="1"/>
        <v>72.069999999999993</v>
      </c>
      <c r="J46" vm="1057">
        <f ca="1"/>
        <v>136.34039999999999</v>
      </c>
      <c r="K46" vm="1058">
        <f ca="1"/>
        <v>238.9392</v>
      </c>
      <c r="L46" vm="1059">
        <f ca="1"/>
        <v>892.21</v>
      </c>
      <c r="M46" vm="1060">
        <f ca="1"/>
        <v>54.91</v>
      </c>
      <c r="N46" vm="1061">
        <f ca="1"/>
        <v>23.99</v>
      </c>
      <c r="O46" vm="1062">
        <f ca="1"/>
        <v>159.33000000000001</v>
      </c>
      <c r="P46" vm="1063">
        <f ca="1"/>
        <v>236.8673</v>
      </c>
      <c r="Q46" vm="1064">
        <f ca="1"/>
        <v>2.7966000000000002</v>
      </c>
      <c r="R46" vm="96">
        <f ca="1"/>
        <v>4.657</v>
      </c>
      <c r="S46" vm="1065">
        <f ca="1"/>
        <v>88.33</v>
      </c>
      <c r="T46" vm="1066">
        <f ca="1"/>
        <v>4.5778999999999996</v>
      </c>
      <c r="U46" vm="1067">
        <f ca="1"/>
        <v>252.26</v>
      </c>
      <c r="V46" vm="1068">
        <f ca="1"/>
        <v>264.08420000000001</v>
      </c>
      <c r="W46" vm="1069">
        <f ca="1"/>
        <v>158.61000000000001</v>
      </c>
      <c r="X46" vm="1070">
        <f ca="1"/>
        <v>293.4237</v>
      </c>
      <c r="Y46" vm="1071">
        <f ca="1"/>
        <v>108.05759999999999</v>
      </c>
      <c r="Z46" vm="1072">
        <f ca="1"/>
        <v>213.63200000000001</v>
      </c>
      <c r="AA46" vm="1073">
        <f ca="1"/>
        <v>13.438000000000001</v>
      </c>
      <c r="AB46" vm="1074">
        <f ca="1"/>
        <v>13.88</v>
      </c>
      <c r="AC46" vm="1075">
        <f ca="1"/>
        <v>23.39</v>
      </c>
      <c r="AD46" vm="481">
        <f ca="1"/>
        <v>146.46</v>
      </c>
      <c r="AE46" vm="1076">
        <f ca="1"/>
        <v>123.81</v>
      </c>
      <c r="AF46" vm="1077">
        <f ca="1"/>
        <v>157.09</v>
      </c>
      <c r="AG46" vm="1078">
        <f ca="1"/>
        <v>381.44</v>
      </c>
      <c r="AH46" vm="1079">
        <f ca="1"/>
        <v>379.12</v>
      </c>
      <c r="AI46" vm="1080">
        <f ca="1"/>
        <v>127.45</v>
      </c>
      <c r="AJ46" vm="1081">
        <f ca="1"/>
        <v>114.41</v>
      </c>
      <c r="AK46" vm="1082">
        <f ca="1"/>
        <v>1041.3341</v>
      </c>
      <c r="AL46" t="str">
        <f ca="1"/>
        <v/>
      </c>
      <c r="AM46" vm="1083">
        <f ca="1"/>
        <v>125.2</v>
      </c>
      <c r="AN46" vm="1084">
        <f ca="1"/>
        <v>142.12</v>
      </c>
      <c r="AO46" vm="1085">
        <f ca="1"/>
        <v>403.5</v>
      </c>
    </row>
    <row r="47" spans="1:41" x14ac:dyDescent="0.4">
      <c r="A47" s="1">
        <f ca="1"/>
        <v>46037</v>
      </c>
      <c r="B47" vm="1086">
        <f ca="1"/>
        <v>11.6</v>
      </c>
      <c r="C47" vm="1087">
        <f ca="1"/>
        <v>114.95</v>
      </c>
      <c r="D47" vm="1088">
        <f ca="1"/>
        <v>178.1651</v>
      </c>
      <c r="E47" vm="1089">
        <f ca="1"/>
        <v>613.10469999999998</v>
      </c>
      <c r="F47" vm="1090">
        <f ca="1"/>
        <v>21.83</v>
      </c>
      <c r="G47" vm="1091">
        <f ca="1"/>
        <v>264.79320000000001</v>
      </c>
      <c r="H47" vm="1092">
        <f ca="1"/>
        <v>652.79060000000004</v>
      </c>
      <c r="I47" vm="1093">
        <f ca="1"/>
        <v>73.45</v>
      </c>
      <c r="J47" vm="1094">
        <f ca="1"/>
        <v>136.96289999999999</v>
      </c>
      <c r="K47" vm="1095">
        <f ca="1"/>
        <v>243.3887</v>
      </c>
      <c r="L47" vm="1096">
        <f ca="1"/>
        <v>907.69</v>
      </c>
      <c r="M47" vm="1097">
        <f ca="1"/>
        <v>55.53</v>
      </c>
      <c r="N47" vm="1098">
        <f ca="1"/>
        <v>24.414999999999999</v>
      </c>
      <c r="O47" t="str">
        <f ca="1"/>
        <v/>
      </c>
      <c r="P47" vm="1099">
        <f ca="1"/>
        <v>238.30609999999999</v>
      </c>
      <c r="Q47" vm="1100">
        <f ca="1"/>
        <v>2.8134000000000001</v>
      </c>
      <c r="R47" vm="1101">
        <f ca="1"/>
        <v>4.6595000000000004</v>
      </c>
      <c r="S47" vm="322">
        <f ca="1"/>
        <v>88.31</v>
      </c>
      <c r="T47" vm="1102">
        <f ca="1"/>
        <v>4.6036999999999999</v>
      </c>
      <c r="U47" vm="1103">
        <f ca="1"/>
        <v>253.8</v>
      </c>
      <c r="V47" vm="1104">
        <f ca="1"/>
        <v>264.68810000000002</v>
      </c>
      <c r="W47" vm="1105">
        <f ca="1"/>
        <v>158.66999999999999</v>
      </c>
      <c r="X47" vm="1106">
        <f ca="1"/>
        <v>294.2312</v>
      </c>
      <c r="Y47" vm="1107">
        <f ca="1"/>
        <v>108.0565</v>
      </c>
      <c r="Z47" vm="1108">
        <f ca="1"/>
        <v>213.68</v>
      </c>
      <c r="AA47" vm="1109">
        <f ca="1"/>
        <v>13.343999999999999</v>
      </c>
      <c r="AB47" vm="368">
        <f ca="1"/>
        <v>13.77</v>
      </c>
      <c r="AC47" vm="1110">
        <f ca="1"/>
        <v>23.2</v>
      </c>
      <c r="AD47" vm="1111">
        <f ca="1"/>
        <v>146.47999999999999</v>
      </c>
      <c r="AE47" vm="1112">
        <f ca="1"/>
        <v>124.15</v>
      </c>
      <c r="AF47" vm="1113">
        <f ca="1"/>
        <v>157.44999999999999</v>
      </c>
      <c r="AG47" vm="1114">
        <f ca="1"/>
        <v>382.44</v>
      </c>
      <c r="AH47" vm="1115">
        <f ca="1"/>
        <v>380.06</v>
      </c>
      <c r="AI47" vm="1116">
        <f ca="1"/>
        <v>127.77</v>
      </c>
      <c r="AJ47" vm="1117">
        <f ca="1"/>
        <v>114.31</v>
      </c>
      <c r="AK47" vm="1118">
        <f ca="1"/>
        <v>1044.4494999999999</v>
      </c>
      <c r="AL47" t="str">
        <f ca="1"/>
        <v/>
      </c>
      <c r="AM47" vm="1119">
        <f ca="1"/>
        <v>126.3</v>
      </c>
      <c r="AN47" vm="1120">
        <f ca="1"/>
        <v>142.88</v>
      </c>
      <c r="AO47" vm="380">
        <f ca="1"/>
        <v>402.5</v>
      </c>
    </row>
    <row r="48" spans="1:41" x14ac:dyDescent="0.4">
      <c r="A48" s="1">
        <f ca="1"/>
        <v>46038</v>
      </c>
      <c r="B48" vm="1121">
        <f ca="1"/>
        <v>11.586</v>
      </c>
      <c r="C48" vm="1122">
        <f ca="1"/>
        <v>114.795</v>
      </c>
      <c r="D48" vm="1123">
        <f ca="1"/>
        <v>178.1302</v>
      </c>
      <c r="E48" vm="1124">
        <f ca="1"/>
        <v>613.14700000000005</v>
      </c>
      <c r="F48" vm="1125">
        <f ca="1"/>
        <v>21.795000000000002</v>
      </c>
      <c r="G48" vm="1126">
        <f ca="1"/>
        <v>265.01609999999999</v>
      </c>
      <c r="H48" vm="1127">
        <f ca="1"/>
        <v>650.4058</v>
      </c>
      <c r="I48" vm="1128">
        <f ca="1"/>
        <v>73.48</v>
      </c>
      <c r="J48" vm="1129">
        <f ca="1"/>
        <v>136.6901</v>
      </c>
      <c r="K48" vm="1130">
        <f ca="1"/>
        <v>243.72559999999999</v>
      </c>
      <c r="L48" vm="1131">
        <f ca="1"/>
        <v>909.65</v>
      </c>
      <c r="M48" vm="1132">
        <f ca="1"/>
        <v>55.22</v>
      </c>
      <c r="N48" vm="1133">
        <f ca="1"/>
        <v>24.12</v>
      </c>
      <c r="O48" vm="1134">
        <f ca="1"/>
        <v>160.94999999999999</v>
      </c>
      <c r="P48" vm="1135">
        <f ca="1"/>
        <v>239.49359999999999</v>
      </c>
      <c r="Q48" vm="1136">
        <f ca="1"/>
        <v>2.8020999999999998</v>
      </c>
      <c r="R48" vm="1137">
        <f ca="1"/>
        <v>4.6395</v>
      </c>
      <c r="S48" vm="509">
        <f ca="1"/>
        <v>87.8</v>
      </c>
      <c r="T48" vm="1138">
        <f ca="1"/>
        <v>4.5792000000000002</v>
      </c>
      <c r="U48" vm="1139">
        <f ca="1"/>
        <v>252.9</v>
      </c>
      <c r="V48" vm="1140">
        <f ca="1"/>
        <v>263.96629999999999</v>
      </c>
      <c r="W48" vm="1141">
        <f ca="1"/>
        <v>158.55000000000001</v>
      </c>
      <c r="X48" vm="1142">
        <f ca="1"/>
        <v>293.50580000000002</v>
      </c>
      <c r="Y48" vm="1143">
        <f ca="1"/>
        <v>107.91079999999999</v>
      </c>
      <c r="Z48" vm="1144">
        <f ca="1"/>
        <v>213.678</v>
      </c>
      <c r="AA48" vm="1145">
        <f ca="1"/>
        <v>13.348000000000001</v>
      </c>
      <c r="AB48" vm="1146">
        <f ca="1"/>
        <v>13.73</v>
      </c>
      <c r="AC48" vm="1147">
        <f ca="1"/>
        <v>23.16</v>
      </c>
      <c r="AD48" vm="969">
        <f ca="1"/>
        <v>146.31</v>
      </c>
      <c r="AE48" vm="1148">
        <f ca="1"/>
        <v>124.09</v>
      </c>
      <c r="AF48" vm="1149">
        <f ca="1"/>
        <v>157.03</v>
      </c>
      <c r="AG48" vm="1150">
        <f ca="1"/>
        <v>381.22</v>
      </c>
      <c r="AH48" vm="1151">
        <f ca="1"/>
        <v>378.94</v>
      </c>
      <c r="AI48" vm="1152">
        <f ca="1"/>
        <v>127.36</v>
      </c>
      <c r="AJ48" vm="639">
        <f ca="1"/>
        <v>114.58</v>
      </c>
      <c r="AK48" vm="1153">
        <f ca="1"/>
        <v>1043.6237000000001</v>
      </c>
      <c r="AL48" t="str">
        <f ca="1"/>
        <v/>
      </c>
      <c r="AM48" vm="1154">
        <f ca="1"/>
        <v>126.76</v>
      </c>
      <c r="AN48" vm="1155">
        <f ca="1"/>
        <v>143.26</v>
      </c>
      <c r="AO48" vm="229">
        <f ca="1"/>
        <v>401</v>
      </c>
    </row>
    <row r="49" spans="1:41" x14ac:dyDescent="0.4">
      <c r="A49" s="1">
        <f ca="1"/>
        <v>46039</v>
      </c>
      <c r="B49" t="str">
        <f ca="1"/>
        <v/>
      </c>
      <c r="C49" t="str">
        <f ca="1"/>
        <v/>
      </c>
      <c r="D49" t="str">
        <f ca="1"/>
        <v/>
      </c>
      <c r="E49" t="str">
        <f ca="1"/>
        <v/>
      </c>
      <c r="F49" t="str">
        <f ca="1"/>
        <v/>
      </c>
      <c r="G49" t="str">
        <f ca="1"/>
        <v/>
      </c>
      <c r="H49" t="str">
        <f ca="1"/>
        <v/>
      </c>
      <c r="I49" t="str">
        <f ca="1"/>
        <v/>
      </c>
      <c r="J49" t="str">
        <f ca="1"/>
        <v/>
      </c>
      <c r="K49" t="str">
        <f ca="1"/>
        <v/>
      </c>
      <c r="L49" t="str">
        <f ca="1"/>
        <v/>
      </c>
      <c r="M49" t="str">
        <f ca="1"/>
        <v/>
      </c>
      <c r="N49" t="str">
        <f ca="1"/>
        <v/>
      </c>
      <c r="O49" t="str">
        <f ca="1"/>
        <v/>
      </c>
      <c r="P49" t="str">
        <f ca="1"/>
        <v/>
      </c>
      <c r="Q49" t="str">
        <f ca="1"/>
        <v/>
      </c>
      <c r="R49" t="str">
        <f ca="1"/>
        <v/>
      </c>
      <c r="S49" t="str">
        <f ca="1"/>
        <v/>
      </c>
      <c r="T49" t="str">
        <f ca="1"/>
        <v/>
      </c>
      <c r="U49" t="str">
        <f ca="1"/>
        <v/>
      </c>
      <c r="V49" t="str">
        <f ca="1"/>
        <v/>
      </c>
      <c r="W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c r="AL49" t="str">
        <f ca="1"/>
        <v/>
      </c>
      <c r="AM49" t="str">
        <f ca="1"/>
        <v/>
      </c>
      <c r="AN49" t="str">
        <f ca="1"/>
        <v/>
      </c>
      <c r="AO49" t="str">
        <f ca="1"/>
        <v/>
      </c>
    </row>
    <row r="50" spans="1:41" x14ac:dyDescent="0.4">
      <c r="A50" s="1">
        <f ca="1"/>
        <v>46040</v>
      </c>
      <c r="B50" t="str">
        <f ca="1"/>
        <v/>
      </c>
      <c r="C50" t="str">
        <f ca="1"/>
        <v/>
      </c>
      <c r="D50" t="str">
        <f ca="1"/>
        <v/>
      </c>
      <c r="E50" t="str">
        <f ca="1"/>
        <v/>
      </c>
      <c r="F50" t="str">
        <f ca="1"/>
        <v/>
      </c>
      <c r="G50" t="str">
        <f ca="1"/>
        <v/>
      </c>
      <c r="H50" t="str">
        <f ca="1"/>
        <v/>
      </c>
      <c r="I50" t="str">
        <f ca="1"/>
        <v/>
      </c>
      <c r="J50" t="str">
        <f ca="1"/>
        <v/>
      </c>
      <c r="K50" t="str">
        <f ca="1"/>
        <v/>
      </c>
      <c r="L50" t="str">
        <f ca="1"/>
        <v/>
      </c>
      <c r="M50" t="str">
        <f ca="1"/>
        <v/>
      </c>
      <c r="N50" t="str">
        <f ca="1"/>
        <v/>
      </c>
      <c r="O50" t="str">
        <f ca="1"/>
        <v/>
      </c>
      <c r="P50" t="str">
        <f ca="1"/>
        <v/>
      </c>
      <c r="Q50" t="str">
        <f ca="1"/>
        <v/>
      </c>
      <c r="R50" t="str">
        <f ca="1"/>
        <v/>
      </c>
      <c r="S50" t="str">
        <f ca="1"/>
        <v/>
      </c>
      <c r="T50" t="str">
        <f ca="1"/>
        <v/>
      </c>
      <c r="U50" t="str">
        <f ca="1"/>
        <v/>
      </c>
      <c r="V50" t="str">
        <f ca="1"/>
        <v/>
      </c>
      <c r="W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c r="AL50" t="str">
        <f ca="1"/>
        <v/>
      </c>
      <c r="AM50" t="str">
        <f ca="1"/>
        <v/>
      </c>
      <c r="AN50" t="str">
        <f ca="1"/>
        <v/>
      </c>
      <c r="AO50" t="str">
        <f ca="1"/>
        <v/>
      </c>
    </row>
    <row r="51" spans="1:41" x14ac:dyDescent="0.4">
      <c r="A51" s="1">
        <f ca="1"/>
        <v>46041</v>
      </c>
      <c r="B51" vm="1156">
        <f ca="1"/>
        <v>11.497999999999999</v>
      </c>
      <c r="C51" vm="1157">
        <f ca="1"/>
        <v>113.125</v>
      </c>
      <c r="D51" vm="1158">
        <f ca="1"/>
        <v>174.38399999999999</v>
      </c>
      <c r="E51" vm="1159">
        <f ca="1"/>
        <v>599.93280000000004</v>
      </c>
      <c r="F51" vm="1160">
        <f ca="1"/>
        <v>21.37</v>
      </c>
      <c r="G51" vm="1161">
        <f ca="1"/>
        <v>260.49970000000002</v>
      </c>
      <c r="H51" vm="1162">
        <f ca="1"/>
        <v>640.67960000000005</v>
      </c>
      <c r="I51" vm="1163">
        <f ca="1"/>
        <v>72.45</v>
      </c>
      <c r="J51" vm="1164">
        <f ca="1"/>
        <v>132.2336</v>
      </c>
      <c r="K51" vm="1165">
        <f ca="1"/>
        <v>234.74789999999999</v>
      </c>
      <c r="L51" vm="1166">
        <f ca="1"/>
        <v>878.96</v>
      </c>
      <c r="M51" vm="1167">
        <f ca="1"/>
        <v>54.68</v>
      </c>
      <c r="N51" vm="1168">
        <f ca="1"/>
        <v>24.135000000000002</v>
      </c>
      <c r="O51" vm="1169">
        <f ca="1"/>
        <v>160.74</v>
      </c>
      <c r="P51" vm="1170">
        <f ca="1"/>
        <v>239.14580000000001</v>
      </c>
      <c r="Q51" vm="1171">
        <f ca="1"/>
        <v>2.7597999999999998</v>
      </c>
      <c r="R51" vm="1172">
        <f ca="1"/>
        <v>4.593</v>
      </c>
      <c r="S51" t="str">
        <f ca="1"/>
        <v/>
      </c>
      <c r="T51" vm="1173">
        <f ca="1"/>
        <v>4.5617999999999999</v>
      </c>
      <c r="U51" vm="1174">
        <f ca="1"/>
        <v>252</v>
      </c>
      <c r="V51" vm="1175">
        <f ca="1"/>
        <v>264.64670000000001</v>
      </c>
      <c r="W51" vm="1176">
        <f ca="1"/>
        <v>158.69999999999999</v>
      </c>
      <c r="X51" t="str">
        <f ca="1"/>
        <v/>
      </c>
      <c r="Y51" vm="1177">
        <f ca="1"/>
        <v>107.94029999999999</v>
      </c>
      <c r="Z51" t="str">
        <f ca="1"/>
        <v/>
      </c>
      <c r="AA51" vm="1178">
        <f ca="1"/>
        <v>13.38</v>
      </c>
      <c r="AB51" t="str">
        <f ca="1"/>
        <v/>
      </c>
      <c r="AC51" t="str">
        <f ca="1"/>
        <v/>
      </c>
      <c r="AD51" vm="1179">
        <f ca="1"/>
        <v>146.53</v>
      </c>
      <c r="AE51" vm="1180">
        <f ca="1"/>
        <v>123.91</v>
      </c>
      <c r="AF51" vm="1181">
        <f ca="1"/>
        <v>159.08000000000001</v>
      </c>
      <c r="AG51" vm="1182">
        <f ca="1"/>
        <v>386.18</v>
      </c>
      <c r="AH51" vm="1183">
        <f ca="1"/>
        <v>383.84</v>
      </c>
      <c r="AI51" vm="1184">
        <f ca="1"/>
        <v>129.03</v>
      </c>
      <c r="AJ51" vm="1185">
        <f ca="1"/>
        <v>114.84</v>
      </c>
      <c r="AK51" vm="1186">
        <f ca="1"/>
        <v>1041.7277999999999</v>
      </c>
      <c r="AL51" t="str">
        <f ca="1"/>
        <v/>
      </c>
      <c r="AM51" vm="1187">
        <f ca="1"/>
        <v>123.82</v>
      </c>
      <c r="AN51" vm="1188">
        <f ca="1"/>
        <v>141.28</v>
      </c>
      <c r="AO51" vm="1189">
        <f ca="1"/>
        <v>402</v>
      </c>
    </row>
    <row r="52" spans="1:41" x14ac:dyDescent="0.4">
      <c r="A52" s="1">
        <f ca="1"/>
        <v>46042</v>
      </c>
      <c r="B52" vm="1190">
        <f ca="1"/>
        <v>11.382</v>
      </c>
      <c r="C52" vm="1191">
        <f ca="1"/>
        <v>112.185</v>
      </c>
      <c r="D52" vm="1192">
        <f ca="1"/>
        <v>173.8109</v>
      </c>
      <c r="E52" vm="1193">
        <f ca="1"/>
        <v>597.73789999999997</v>
      </c>
      <c r="F52" vm="1194">
        <f ca="1"/>
        <v>21.21</v>
      </c>
      <c r="G52" vm="1195">
        <f ca="1"/>
        <v>258.33760000000001</v>
      </c>
      <c r="H52" vm="1196">
        <f ca="1"/>
        <v>636.98530000000005</v>
      </c>
      <c r="I52" vm="1197">
        <f ca="1"/>
        <v>71.959999999999994</v>
      </c>
      <c r="J52" vm="1198">
        <f ca="1"/>
        <v>132.2602</v>
      </c>
      <c r="K52" vm="1199">
        <f ca="1"/>
        <v>233.45349999999999</v>
      </c>
      <c r="L52" vm="1200">
        <f ca="1"/>
        <v>875.48</v>
      </c>
      <c r="M52" vm="1201">
        <f ca="1"/>
        <v>54.38</v>
      </c>
      <c r="N52" vm="1202">
        <f ca="1"/>
        <v>23.795000000000002</v>
      </c>
      <c r="O52" vm="1176">
        <f ca="1"/>
        <v>158.69999999999999</v>
      </c>
      <c r="P52" vm="1203">
        <f ca="1"/>
        <v>235.83279999999999</v>
      </c>
      <c r="Q52" vm="1204">
        <f ca="1"/>
        <v>2.7342</v>
      </c>
      <c r="R52" vm="1205">
        <f ca="1"/>
        <v>4.5754999999999999</v>
      </c>
      <c r="S52" vm="1206">
        <f ca="1"/>
        <v>86.65</v>
      </c>
      <c r="T52" vm="1207">
        <f ca="1"/>
        <v>4.5396000000000001</v>
      </c>
      <c r="U52" vm="1208">
        <f ca="1"/>
        <v>250.64</v>
      </c>
      <c r="V52" vm="1209">
        <f ca="1"/>
        <v>263.68900000000002</v>
      </c>
      <c r="W52" vm="1210">
        <f ca="1"/>
        <v>158.59</v>
      </c>
      <c r="X52" vm="1211">
        <f ca="1"/>
        <v>292.66410000000002</v>
      </c>
      <c r="Y52" vm="1212">
        <f ca="1"/>
        <v>107.83540000000001</v>
      </c>
      <c r="Z52" vm="1213">
        <f ca="1"/>
        <v>213.22900000000001</v>
      </c>
      <c r="AA52" vm="1214">
        <f ca="1"/>
        <v>13.288</v>
      </c>
      <c r="AB52" vm="1215">
        <f ca="1"/>
        <v>13.93</v>
      </c>
      <c r="AC52" vm="1216">
        <f ca="1"/>
        <v>23.48</v>
      </c>
      <c r="AD52" vm="1040">
        <f ca="1"/>
        <v>146.4</v>
      </c>
      <c r="AE52" vm="1217">
        <f ca="1"/>
        <v>123.29</v>
      </c>
      <c r="AF52" vm="1218">
        <f ca="1"/>
        <v>160.32</v>
      </c>
      <c r="AG52" vm="1219">
        <f ca="1"/>
        <v>389.2</v>
      </c>
      <c r="AH52" vm="1220">
        <f ca="1"/>
        <v>386.82</v>
      </c>
      <c r="AI52" vm="1221">
        <f ca="1"/>
        <v>130.04</v>
      </c>
      <c r="AJ52" vm="226">
        <f ca="1"/>
        <v>115.65</v>
      </c>
      <c r="AK52" vm="1222">
        <f ca="1"/>
        <v>1040.2329999999999</v>
      </c>
      <c r="AL52" t="str">
        <f ca="1"/>
        <v/>
      </c>
      <c r="AM52" vm="1223">
        <f ca="1"/>
        <v>121.08</v>
      </c>
      <c r="AN52" vm="1224">
        <f ca="1"/>
        <v>139.12</v>
      </c>
      <c r="AO52" vm="418">
        <f ca="1"/>
        <v>403</v>
      </c>
    </row>
    <row r="53" spans="1:41" x14ac:dyDescent="0.4">
      <c r="A53" s="1">
        <f ca="1"/>
        <v>46043</v>
      </c>
      <c r="B53" vm="1225">
        <f ca="1"/>
        <v>11.342000000000001</v>
      </c>
      <c r="C53" vm="1226">
        <f ca="1"/>
        <v>112.245</v>
      </c>
      <c r="D53" vm="1227">
        <f ca="1"/>
        <v>174.1892</v>
      </c>
      <c r="E53" vm="1228">
        <f ca="1"/>
        <v>599.63930000000005</v>
      </c>
      <c r="F53" vm="1229">
        <f ca="1"/>
        <v>21.55</v>
      </c>
      <c r="G53" vm="1230">
        <f ca="1"/>
        <v>260.14569999999998</v>
      </c>
      <c r="H53" vm="1231">
        <f ca="1"/>
        <v>643.00059999999996</v>
      </c>
      <c r="I53" vm="1232">
        <f ca="1"/>
        <v>71.760000000000005</v>
      </c>
      <c r="J53" vm="1233">
        <f ca="1"/>
        <v>130.91480000000001</v>
      </c>
      <c r="K53" vm="1234">
        <f ca="1"/>
        <v>234.37649999999999</v>
      </c>
      <c r="L53" vm="1235">
        <f ca="1"/>
        <v>877.07</v>
      </c>
      <c r="M53" vm="1236">
        <f ca="1"/>
        <v>54.92</v>
      </c>
      <c r="N53" vm="1237">
        <f ca="1"/>
        <v>24.05</v>
      </c>
      <c r="O53" vm="1238">
        <f ca="1"/>
        <v>158.19</v>
      </c>
      <c r="P53" vm="1239">
        <f ca="1"/>
        <v>235.43680000000001</v>
      </c>
      <c r="Q53" vm="1240">
        <f ca="1"/>
        <v>2.7416</v>
      </c>
      <c r="R53" vm="1241">
        <f ca="1"/>
        <v>4.5845000000000002</v>
      </c>
      <c r="S53" vm="1242">
        <f ca="1"/>
        <v>87.31</v>
      </c>
      <c r="T53" vm="1243">
        <f ca="1"/>
        <v>4.5166000000000004</v>
      </c>
      <c r="U53" vm="1244">
        <f ca="1"/>
        <v>249.66</v>
      </c>
      <c r="V53" vm="1245">
        <f ca="1"/>
        <v>263.40449999999998</v>
      </c>
      <c r="W53" vm="1246">
        <f ca="1"/>
        <v>158.57</v>
      </c>
      <c r="X53" vm="1247">
        <f ca="1"/>
        <v>292.57080000000002</v>
      </c>
      <c r="Y53" vm="1248">
        <f ca="1"/>
        <v>107.92919999999999</v>
      </c>
      <c r="Z53" vm="1249">
        <f ca="1"/>
        <v>213.49</v>
      </c>
      <c r="AA53" vm="1250">
        <f ca="1"/>
        <v>13.382</v>
      </c>
      <c r="AB53" vm="1251">
        <f ca="1"/>
        <v>14.08</v>
      </c>
      <c r="AC53" vm="1252">
        <f ca="1"/>
        <v>23.75</v>
      </c>
      <c r="AD53" vm="446">
        <f ca="1"/>
        <v>146.36000000000001</v>
      </c>
      <c r="AE53" vm="1217">
        <f ca="1"/>
        <v>123.29</v>
      </c>
      <c r="AF53" vm="1253">
        <f ca="1"/>
        <v>164.05</v>
      </c>
      <c r="AG53" vm="1254">
        <f ca="1"/>
        <v>398.4</v>
      </c>
      <c r="AH53" vm="1255">
        <f ca="1"/>
        <v>395.82</v>
      </c>
      <c r="AI53" vm="1256">
        <f ca="1"/>
        <v>133.06</v>
      </c>
      <c r="AJ53" vm="565">
        <f ca="1"/>
        <v>115.43</v>
      </c>
      <c r="AK53" vm="1257">
        <f ca="1"/>
        <v>1041.4627</v>
      </c>
      <c r="AL53" t="str">
        <f ca="1"/>
        <v/>
      </c>
      <c r="AM53" vm="1258">
        <f ca="1"/>
        <v>119.22</v>
      </c>
      <c r="AN53" vm="1259">
        <f ca="1"/>
        <v>138.54</v>
      </c>
      <c r="AO53" vm="1260">
        <f ca="1"/>
        <v>405.5</v>
      </c>
    </row>
    <row r="54" spans="1:41" x14ac:dyDescent="0.4">
      <c r="A54" s="1">
        <f ca="1"/>
        <v>46044</v>
      </c>
      <c r="B54" vm="1261">
        <f ca="1"/>
        <v>11.48</v>
      </c>
      <c r="C54" vm="1262">
        <f ca="1"/>
        <v>113.005</v>
      </c>
      <c r="D54" vm="1263">
        <f ca="1"/>
        <v>175.50470000000001</v>
      </c>
      <c r="E54" vm="1264">
        <f ca="1"/>
        <v>604.97090000000003</v>
      </c>
      <c r="F54" vm="1090">
        <f ca="1"/>
        <v>21.83</v>
      </c>
      <c r="G54" vm="1265">
        <f ca="1"/>
        <v>263.36840000000001</v>
      </c>
      <c r="H54" vm="1266">
        <f ca="1"/>
        <v>647.75429999999994</v>
      </c>
      <c r="I54" vm="1267">
        <f ca="1"/>
        <v>71.87</v>
      </c>
      <c r="J54" vm="1268">
        <f ca="1"/>
        <v>132.71039999999999</v>
      </c>
      <c r="K54" vm="1269">
        <f ca="1"/>
        <v>236.75620000000001</v>
      </c>
      <c r="L54" vm="1270">
        <f ca="1"/>
        <v>884.36</v>
      </c>
      <c r="M54" vm="1271">
        <f ca="1"/>
        <v>55.41</v>
      </c>
      <c r="N54" vm="1272">
        <f ca="1"/>
        <v>24.17</v>
      </c>
      <c r="O54" vm="1273">
        <f ca="1"/>
        <v>158.41</v>
      </c>
      <c r="P54" vm="1274">
        <f ca="1"/>
        <v>235.9598</v>
      </c>
      <c r="Q54" vm="1275">
        <f ca="1"/>
        <v>2.7454999999999998</v>
      </c>
      <c r="R54" vm="245">
        <f ca="1"/>
        <v>4.5999999999999996</v>
      </c>
      <c r="S54" vm="1276">
        <f ca="1"/>
        <v>87.69</v>
      </c>
      <c r="T54" vm="1277">
        <f ca="1"/>
        <v>4.5427999999999997</v>
      </c>
      <c r="U54" vm="1278">
        <f ca="1"/>
        <v>250.9</v>
      </c>
      <c r="V54" vm="1279">
        <f ca="1"/>
        <v>263.04849999999999</v>
      </c>
      <c r="W54" vm="1033">
        <f ca="1"/>
        <v>158.51</v>
      </c>
      <c r="X54" vm="1280">
        <f ca="1"/>
        <v>292.67950000000002</v>
      </c>
      <c r="Y54" vm="1281">
        <f ca="1"/>
        <v>107.97020000000001</v>
      </c>
      <c r="Z54" vm="1282">
        <f ca="1"/>
        <v>213.7</v>
      </c>
      <c r="AA54" vm="1283">
        <f ca="1"/>
        <v>13.321999999999999</v>
      </c>
      <c r="AB54" vm="1284">
        <f ca="1"/>
        <v>14.09</v>
      </c>
      <c r="AC54" vm="1285">
        <f ca="1"/>
        <v>23.74</v>
      </c>
      <c r="AD54" vm="1286">
        <f ca="1"/>
        <v>146.15</v>
      </c>
      <c r="AE54" vm="1287">
        <f ca="1"/>
        <v>123.77</v>
      </c>
      <c r="AF54" vm="1288">
        <f ca="1"/>
        <v>164.63</v>
      </c>
      <c r="AG54" vm="1289">
        <f ca="1"/>
        <v>399.66</v>
      </c>
      <c r="AH54" vm="1290">
        <f ca="1"/>
        <v>397.22</v>
      </c>
      <c r="AI54" vm="1291">
        <f ca="1"/>
        <v>133.56</v>
      </c>
      <c r="AJ54" vm="1185">
        <f ca="1"/>
        <v>114.84</v>
      </c>
      <c r="AK54" vm="1292">
        <f ca="1"/>
        <v>1041.4961000000001</v>
      </c>
      <c r="AL54" t="str">
        <f ca="1"/>
        <v/>
      </c>
      <c r="AM54" vm="1293">
        <f ca="1"/>
        <v>117.48</v>
      </c>
      <c r="AN54" vm="1294">
        <f ca="1"/>
        <v>136.72</v>
      </c>
      <c r="AO54" vm="941">
        <f ca="1"/>
        <v>404</v>
      </c>
    </row>
    <row r="55" spans="1:41" x14ac:dyDescent="0.4">
      <c r="A55" s="1">
        <f ca="1"/>
        <v>46045</v>
      </c>
      <c r="B55" vm="1295">
        <f ca="1"/>
        <v>11.422000000000001</v>
      </c>
      <c r="C55" vm="1296">
        <f ca="1"/>
        <v>112.815</v>
      </c>
      <c r="D55" vm="1297">
        <f ca="1"/>
        <v>175.85650000000001</v>
      </c>
      <c r="E55" vm="1298">
        <f ca="1"/>
        <v>605.96900000000005</v>
      </c>
      <c r="F55" vm="1299">
        <f ca="1"/>
        <v>21.56</v>
      </c>
      <c r="G55" vm="1300">
        <f ca="1"/>
        <v>263.83629999999999</v>
      </c>
      <c r="H55" vm="1301">
        <f ca="1"/>
        <v>644.56309999999996</v>
      </c>
      <c r="I55" vm="1302">
        <f ca="1"/>
        <v>71.650000000000006</v>
      </c>
      <c r="J55" vm="1303">
        <f ca="1"/>
        <v>132.96719999999999</v>
      </c>
      <c r="K55" vm="1304">
        <f ca="1"/>
        <v>236.62549999999999</v>
      </c>
      <c r="L55" vm="1305">
        <f ca="1"/>
        <v>882.9</v>
      </c>
      <c r="M55" vm="1306">
        <f ca="1"/>
        <v>54.86</v>
      </c>
      <c r="N55" vm="1307">
        <f ca="1"/>
        <v>24.11</v>
      </c>
      <c r="O55" vm="1105">
        <f ca="1"/>
        <v>158.66999999999999</v>
      </c>
      <c r="P55" vm="1308">
        <f ca="1"/>
        <v>236.6634</v>
      </c>
      <c r="Q55" vm="1309">
        <f ca="1"/>
        <v>2.7517999999999998</v>
      </c>
      <c r="R55" vm="1310">
        <f ca="1"/>
        <v>4.6260000000000003</v>
      </c>
      <c r="S55" vm="959">
        <f ca="1"/>
        <v>87.93</v>
      </c>
      <c r="T55" vm="1311">
        <f ca="1"/>
        <v>4.5473999999999997</v>
      </c>
      <c r="U55" vm="1312">
        <f ca="1"/>
        <v>251.28</v>
      </c>
      <c r="V55" vm="1313">
        <f ca="1"/>
        <v>262.52330000000001</v>
      </c>
      <c r="W55" vm="1314">
        <f ca="1"/>
        <v>158.44999999999999</v>
      </c>
      <c r="X55" vm="1315">
        <f ca="1"/>
        <v>292.17950000000002</v>
      </c>
      <c r="Y55" vm="1316">
        <f ca="1"/>
        <v>107.92700000000001</v>
      </c>
      <c r="Z55" vm="1317">
        <f ca="1"/>
        <v>213.65600000000001</v>
      </c>
      <c r="AA55" vm="1318">
        <f ca="1"/>
        <v>13.476000000000001</v>
      </c>
      <c r="AB55" vm="1319">
        <f ca="1"/>
        <v>14.34</v>
      </c>
      <c r="AC55" vm="1320">
        <f ca="1"/>
        <v>24.18</v>
      </c>
      <c r="AD55" vm="1321">
        <f ca="1"/>
        <v>146.01</v>
      </c>
      <c r="AE55" vm="1322">
        <f ca="1"/>
        <v>123.53</v>
      </c>
      <c r="AF55" vm="1323">
        <f ca="1"/>
        <v>167.91</v>
      </c>
      <c r="AG55" vm="1324">
        <f ca="1"/>
        <v>407.76</v>
      </c>
      <c r="AH55" vm="1325">
        <f ca="1"/>
        <v>405.14</v>
      </c>
      <c r="AI55" vm="1326">
        <f ca="1"/>
        <v>136.24</v>
      </c>
      <c r="AJ55" vm="1327">
        <f ca="1"/>
        <v>114.8</v>
      </c>
      <c r="AK55" vm="1328">
        <f ca="1"/>
        <v>1039.3592000000001</v>
      </c>
      <c r="AL55" t="str">
        <f ca="1"/>
        <v/>
      </c>
      <c r="AM55" vm="1329">
        <f ca="1"/>
        <v>117.6</v>
      </c>
      <c r="AN55" vm="1330">
        <f ca="1"/>
        <v>136.54</v>
      </c>
      <c r="AO55" vm="267">
        <f ca="1"/>
        <v>401.5</v>
      </c>
    </row>
    <row r="56" spans="1:41" x14ac:dyDescent="0.4">
      <c r="A56" s="1">
        <f ca="1"/>
        <v>46046</v>
      </c>
      <c r="B56" t="str">
        <f ca="1"/>
        <v/>
      </c>
      <c r="C56" t="str">
        <f ca="1"/>
        <v/>
      </c>
      <c r="D56" t="str">
        <f ca="1"/>
        <v/>
      </c>
      <c r="E56" t="str">
        <f ca="1"/>
        <v/>
      </c>
      <c r="F56" t="str">
        <f ca="1"/>
        <v/>
      </c>
      <c r="G56" t="str">
        <f ca="1"/>
        <v/>
      </c>
      <c r="H56" t="str">
        <f ca="1"/>
        <v/>
      </c>
      <c r="I56" t="str">
        <f ca="1"/>
        <v/>
      </c>
      <c r="J56" t="str">
        <f ca="1"/>
        <v/>
      </c>
      <c r="K56" t="str">
        <f ca="1"/>
        <v/>
      </c>
      <c r="L56" t="str">
        <f ca="1"/>
        <v/>
      </c>
      <c r="M56" t="str">
        <f ca="1"/>
        <v/>
      </c>
      <c r="N56" t="str">
        <f ca="1"/>
        <v/>
      </c>
      <c r="O56" t="str">
        <f ca="1"/>
        <v/>
      </c>
      <c r="P56" t="str">
        <f ca="1"/>
        <v/>
      </c>
      <c r="Q56" t="str">
        <f ca="1"/>
        <v/>
      </c>
      <c r="R56" t="str">
        <f ca="1"/>
        <v/>
      </c>
      <c r="S56" t="str">
        <f ca="1"/>
        <v/>
      </c>
      <c r="T56" t="str">
        <f ca="1"/>
        <v/>
      </c>
      <c r="U56" t="str">
        <f ca="1"/>
        <v/>
      </c>
      <c r="V56" t="str">
        <f ca="1"/>
        <v/>
      </c>
      <c r="W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c r="AL56" t="str">
        <f ca="1"/>
        <v/>
      </c>
      <c r="AM56" t="str">
        <f ca="1"/>
        <v/>
      </c>
      <c r="AN56" t="str">
        <f ca="1"/>
        <v/>
      </c>
      <c r="AO56" t="str">
        <f ca="1"/>
        <v/>
      </c>
    </row>
    <row r="57" spans="1:41" x14ac:dyDescent="0.4">
      <c r="A57" s="1">
        <f ca="1"/>
        <v>46047</v>
      </c>
      <c r="B57" t="str">
        <f ca="1"/>
        <v/>
      </c>
      <c r="C57" t="str">
        <f ca="1"/>
        <v/>
      </c>
      <c r="D57" t="str">
        <f ca="1"/>
        <v/>
      </c>
      <c r="E57" t="str">
        <f ca="1"/>
        <v/>
      </c>
      <c r="F57" t="str">
        <f ca="1"/>
        <v/>
      </c>
      <c r="G57" t="str">
        <f ca="1"/>
        <v/>
      </c>
      <c r="H57" t="str">
        <f ca="1"/>
        <v/>
      </c>
      <c r="I57" t="str">
        <f ca="1"/>
        <v/>
      </c>
      <c r="J57" t="str">
        <f ca="1"/>
        <v/>
      </c>
      <c r="K57" t="str">
        <f ca="1"/>
        <v/>
      </c>
      <c r="L57" t="str">
        <f ca="1"/>
        <v/>
      </c>
      <c r="M57" t="str">
        <f ca="1"/>
        <v/>
      </c>
      <c r="N57" t="str">
        <f ca="1"/>
        <v/>
      </c>
      <c r="O57" t="str">
        <f ca="1"/>
        <v/>
      </c>
      <c r="P57" t="str">
        <f ca="1"/>
        <v/>
      </c>
      <c r="Q57" t="str">
        <f ca="1"/>
        <v/>
      </c>
      <c r="R57" t="str">
        <f ca="1"/>
        <v/>
      </c>
      <c r="S57" t="str">
        <f ca="1"/>
        <v/>
      </c>
      <c r="T57" t="str">
        <f ca="1"/>
        <v/>
      </c>
      <c r="U57" t="str">
        <f ca="1"/>
        <v/>
      </c>
      <c r="V57" t="str">
        <f ca="1"/>
        <v/>
      </c>
      <c r="W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c r="AL57" t="str">
        <f ca="1"/>
        <v/>
      </c>
      <c r="AM57" t="str">
        <f ca="1"/>
        <v/>
      </c>
      <c r="AN57" t="str">
        <f ca="1"/>
        <v/>
      </c>
      <c r="AO57" t="str">
        <f ca="1"/>
        <v/>
      </c>
    </row>
    <row r="58" spans="1:41" x14ac:dyDescent="0.4">
      <c r="A58" s="1">
        <f ca="1"/>
        <v>46048</v>
      </c>
      <c r="B58" vm="1331">
        <f ca="1"/>
        <v>11.428000000000001</v>
      </c>
      <c r="C58" vm="1332">
        <f ca="1"/>
        <v>112.38500000000001</v>
      </c>
      <c r="D58" vm="1333">
        <f ca="1"/>
        <v>175.9913</v>
      </c>
      <c r="E58" vm="1334">
        <f ca="1"/>
        <v>607.89049999999997</v>
      </c>
      <c r="F58" vm="1335">
        <f ca="1"/>
        <v>21.355</v>
      </c>
      <c r="G58" vm="1336">
        <f ca="1"/>
        <v>264.24590000000001</v>
      </c>
      <c r="H58" vm="1337">
        <f ca="1"/>
        <v>649.59789999999998</v>
      </c>
      <c r="I58" vm="1338">
        <f ca="1"/>
        <v>71.45</v>
      </c>
      <c r="J58" vm="1339">
        <f ca="1"/>
        <v>132.26429999999999</v>
      </c>
      <c r="K58" vm="1340">
        <f ca="1"/>
        <v>235.8777</v>
      </c>
      <c r="L58" vm="1341">
        <f ca="1"/>
        <v>880.66</v>
      </c>
      <c r="M58" vm="1342">
        <f ca="1"/>
        <v>54.64</v>
      </c>
      <c r="N58" vm="1343">
        <f ca="1"/>
        <v>24.02</v>
      </c>
      <c r="O58" t="str">
        <f ca="1"/>
        <v/>
      </c>
      <c r="P58" vm="1344">
        <f ca="1"/>
        <v>235.71719999999999</v>
      </c>
      <c r="Q58" vm="1345">
        <f ca="1"/>
        <v>2.7393999999999998</v>
      </c>
      <c r="R58" vm="1346">
        <f ca="1"/>
        <v>4.6470000000000002</v>
      </c>
      <c r="S58" vm="1347">
        <f ca="1"/>
        <v>88.35</v>
      </c>
      <c r="T58" vm="1348">
        <f ca="1"/>
        <v>4.5789</v>
      </c>
      <c r="U58" vm="1349">
        <f ca="1"/>
        <v>252.57</v>
      </c>
      <c r="V58" vm="1350">
        <f ca="1"/>
        <v>263.04020000000003</v>
      </c>
      <c r="W58" vm="1351">
        <f ca="1"/>
        <v>158.58000000000001</v>
      </c>
      <c r="X58" vm="1352">
        <f ca="1"/>
        <v>292.65769999999998</v>
      </c>
      <c r="Y58" vm="1353">
        <f ca="1"/>
        <v>108.0616</v>
      </c>
      <c r="Z58" vm="1354">
        <f ca="1"/>
        <v>213.733</v>
      </c>
      <c r="AA58" vm="1355">
        <f ca="1"/>
        <v>13.462</v>
      </c>
      <c r="AB58" vm="1356">
        <f ca="1"/>
        <v>14.42</v>
      </c>
      <c r="AC58" vm="1357">
        <f ca="1"/>
        <v>24.29</v>
      </c>
      <c r="AD58" vm="296">
        <f ca="1"/>
        <v>146.11000000000001</v>
      </c>
      <c r="AE58" vm="1358">
        <f ca="1"/>
        <v>123.99</v>
      </c>
      <c r="AF58" vm="1359">
        <f ca="1"/>
        <v>169.34</v>
      </c>
      <c r="AG58" vm="1360">
        <f ca="1"/>
        <v>411.22</v>
      </c>
      <c r="AH58" vm="1361">
        <f ca="1"/>
        <v>408.64</v>
      </c>
      <c r="AI58" vm="1362">
        <f ca="1"/>
        <v>137.36000000000001</v>
      </c>
      <c r="AJ58" vm="1363">
        <f ca="1"/>
        <v>114.89</v>
      </c>
      <c r="AK58" vm="1364">
        <f ca="1"/>
        <v>1041.7455</v>
      </c>
      <c r="AL58" t="str">
        <f ca="1"/>
        <v/>
      </c>
      <c r="AM58" vm="1365">
        <f ca="1"/>
        <v>114.04</v>
      </c>
      <c r="AN58" vm="1366">
        <f ca="1"/>
        <v>133.72</v>
      </c>
      <c r="AO58" vm="1367">
        <f ca="1"/>
        <v>414</v>
      </c>
    </row>
    <row r="59" spans="1:41" x14ac:dyDescent="0.4">
      <c r="A59" s="1">
        <f ca="1"/>
        <v>46049</v>
      </c>
      <c r="B59" vm="1368">
        <f ca="1"/>
        <v>11.346</v>
      </c>
      <c r="C59" vm="1369">
        <f ca="1"/>
        <v>112.235</v>
      </c>
      <c r="D59" vm="1370">
        <f ca="1"/>
        <v>176.61779999999999</v>
      </c>
      <c r="E59" vm="1371">
        <f ca="1"/>
        <v>609.94060000000002</v>
      </c>
      <c r="F59" vm="1372">
        <f ca="1"/>
        <v>21.29</v>
      </c>
      <c r="G59" vm="1373">
        <f ca="1"/>
        <v>265.52510000000001</v>
      </c>
      <c r="H59" vm="1374">
        <f ca="1"/>
        <v>652.52390000000003</v>
      </c>
      <c r="I59" vm="1375">
        <f ca="1"/>
        <v>71.95</v>
      </c>
      <c r="J59" vm="1376">
        <f ca="1"/>
        <v>131.92779999999999</v>
      </c>
      <c r="K59" vm="1377">
        <f ca="1"/>
        <v>237.4263</v>
      </c>
      <c r="L59" vm="1378">
        <f ca="1"/>
        <v>885.23</v>
      </c>
      <c r="M59" vm="1379">
        <f ca="1"/>
        <v>54.76</v>
      </c>
      <c r="N59" vm="1380">
        <f ca="1"/>
        <v>24.27</v>
      </c>
      <c r="O59" vm="1381">
        <f ca="1"/>
        <v>158.62</v>
      </c>
      <c r="P59" vm="1382">
        <f ca="1"/>
        <v>236.822</v>
      </c>
      <c r="Q59" vm="1383">
        <f ca="1"/>
        <v>2.7121</v>
      </c>
      <c r="R59" vm="744">
        <f ca="1"/>
        <v>4.6384999999999996</v>
      </c>
      <c r="S59" vm="509">
        <f ca="1"/>
        <v>87.8</v>
      </c>
      <c r="T59" vm="1384">
        <f ca="1"/>
        <v>4.5712000000000002</v>
      </c>
      <c r="U59" vm="1385">
        <f ca="1"/>
        <v>252.93</v>
      </c>
      <c r="V59" vm="1386">
        <f ca="1"/>
        <v>263.2681</v>
      </c>
      <c r="W59" vm="1387">
        <f ca="1"/>
        <v>158.63</v>
      </c>
      <c r="X59" vm="1388">
        <f ca="1"/>
        <v>292.9393</v>
      </c>
      <c r="Y59" vm="1389">
        <f ca="1"/>
        <v>108.1002</v>
      </c>
      <c r="Z59" vm="1390">
        <f ca="1"/>
        <v>213.73500000000001</v>
      </c>
      <c r="AA59" vm="1391">
        <f ca="1"/>
        <v>13.454000000000001</v>
      </c>
      <c r="AB59" vm="1392">
        <f ca="1"/>
        <v>14.62</v>
      </c>
      <c r="AC59" vm="1393">
        <f ca="1"/>
        <v>24.62</v>
      </c>
      <c r="AD59" vm="1394">
        <f ca="1"/>
        <v>146.16999999999999</v>
      </c>
      <c r="AE59" vm="1395">
        <f ca="1"/>
        <v>123.71</v>
      </c>
      <c r="AF59" vm="1396">
        <f ca="1"/>
        <v>168.45</v>
      </c>
      <c r="AG59" vm="1397">
        <f ca="1"/>
        <v>409.18</v>
      </c>
      <c r="AH59" vm="1398">
        <f ca="1"/>
        <v>406.48</v>
      </c>
      <c r="AI59" vm="1399">
        <f ca="1"/>
        <v>136.63999999999999</v>
      </c>
      <c r="AJ59" vm="1363">
        <f ca="1"/>
        <v>114.89</v>
      </c>
      <c r="AK59" vm="1400">
        <f ca="1"/>
        <v>1050.7699</v>
      </c>
      <c r="AL59" t="str">
        <f ca="1"/>
        <v/>
      </c>
      <c r="AM59" vm="1401">
        <f ca="1"/>
        <v>113.14</v>
      </c>
      <c r="AN59" vm="1402">
        <f ca="1"/>
        <v>132.52000000000001</v>
      </c>
      <c r="AO59" vm="1403">
        <f ca="1"/>
        <v>412.5</v>
      </c>
    </row>
    <row r="60" spans="1:41" x14ac:dyDescent="0.4">
      <c r="A60" s="1">
        <f ca="1"/>
        <v>46050</v>
      </c>
      <c r="B60" vm="1404">
        <f ca="1"/>
        <v>11.458</v>
      </c>
      <c r="C60" vm="1405">
        <f ca="1"/>
        <v>112.325</v>
      </c>
      <c r="D60" vm="1406">
        <f ca="1"/>
        <v>175.98910000000001</v>
      </c>
      <c r="E60" vm="1407">
        <f ca="1"/>
        <v>607.1816</v>
      </c>
      <c r="F60" vm="1408">
        <f ca="1"/>
        <v>21.285</v>
      </c>
      <c r="G60" vm="1409">
        <f ca="1"/>
        <v>264.54169999999999</v>
      </c>
      <c r="H60" vm="1410">
        <f ca="1"/>
        <v>652.79970000000003</v>
      </c>
      <c r="I60" vm="1411">
        <f ca="1"/>
        <v>72.05</v>
      </c>
      <c r="J60" vm="1412">
        <f ca="1"/>
        <v>131.43639999999999</v>
      </c>
      <c r="K60" vm="1413">
        <f ca="1"/>
        <v>237.6514</v>
      </c>
      <c r="L60" vm="1414">
        <f ca="1"/>
        <v>881.74</v>
      </c>
      <c r="M60" vm="1415">
        <f ca="1"/>
        <v>55.17</v>
      </c>
      <c r="N60" vm="1416">
        <f ca="1"/>
        <v>24.465</v>
      </c>
      <c r="O60" vm="1417">
        <f ca="1"/>
        <v>161.76</v>
      </c>
      <c r="P60" vm="1418">
        <f ca="1"/>
        <v>241.23580000000001</v>
      </c>
      <c r="Q60" vm="1419">
        <f ca="1"/>
        <v>2.7075</v>
      </c>
      <c r="R60" vm="508">
        <f ca="1"/>
        <v>4.6085000000000003</v>
      </c>
      <c r="S60" vm="1420">
        <f ca="1"/>
        <v>87.6</v>
      </c>
      <c r="T60" vm="1421">
        <f ca="1"/>
        <v>4.5753000000000004</v>
      </c>
      <c r="U60" vm="1422">
        <f ca="1"/>
        <v>253.02</v>
      </c>
      <c r="V60" vm="1423">
        <f ca="1"/>
        <v>264.24430000000001</v>
      </c>
      <c r="W60" vm="1424">
        <f ca="1"/>
        <v>158.83000000000001</v>
      </c>
      <c r="X60" vm="1425">
        <f ca="1"/>
        <v>293.77710000000002</v>
      </c>
      <c r="Y60" vm="1426">
        <f ca="1"/>
        <v>108.128</v>
      </c>
      <c r="Z60" vm="1427">
        <f ca="1"/>
        <v>213.69399999999999</v>
      </c>
      <c r="AA60" vm="1428">
        <f ca="1"/>
        <v>13.62</v>
      </c>
      <c r="AB60" vm="1429">
        <f ca="1"/>
        <v>14.82</v>
      </c>
      <c r="AC60" vm="1430">
        <f ca="1"/>
        <v>24.94</v>
      </c>
      <c r="AD60" vm="1431">
        <f ca="1"/>
        <v>146.32</v>
      </c>
      <c r="AE60" vm="1432">
        <f ca="1"/>
        <v>123.92</v>
      </c>
      <c r="AF60" vm="1433">
        <f ca="1"/>
        <v>175.55</v>
      </c>
      <c r="AG60" vm="1434">
        <f ca="1"/>
        <v>426.24</v>
      </c>
      <c r="AH60" vm="1435">
        <f ca="1"/>
        <v>423.48</v>
      </c>
      <c r="AI60" vm="1436">
        <f ca="1"/>
        <v>142.36000000000001</v>
      </c>
      <c r="AJ60" vm="1437">
        <f ca="1"/>
        <v>115.08</v>
      </c>
      <c r="AK60" vm="1438">
        <f ca="1"/>
        <v>1048.9606000000001</v>
      </c>
      <c r="AL60" t="str">
        <f ca="1"/>
        <v/>
      </c>
      <c r="AM60" vm="1439">
        <f ca="1"/>
        <v>112.34</v>
      </c>
      <c r="AN60" vm="1440">
        <f ca="1"/>
        <v>132.66</v>
      </c>
      <c r="AO60" vm="1441">
        <f ca="1"/>
        <v>413</v>
      </c>
    </row>
    <row r="61" spans="1:41" x14ac:dyDescent="0.4">
      <c r="A61" s="1">
        <f ca="1"/>
        <v>46051</v>
      </c>
      <c r="B61" vm="1442">
        <f ca="1"/>
        <v>11.282</v>
      </c>
      <c r="C61" vm="1443">
        <f ca="1"/>
        <v>111.42</v>
      </c>
      <c r="D61" vm="1444">
        <f ca="1"/>
        <v>175.48</v>
      </c>
      <c r="E61" vm="1445">
        <f ca="1"/>
        <v>606.61770000000001</v>
      </c>
      <c r="F61" vm="1446">
        <f ca="1"/>
        <v>21.344999999999999</v>
      </c>
      <c r="G61" vm="1447">
        <f ca="1"/>
        <v>259.72320000000002</v>
      </c>
      <c r="H61" vm="1448">
        <f ca="1"/>
        <v>653.58050000000003</v>
      </c>
      <c r="I61" vm="1449">
        <f ca="1"/>
        <v>71.11</v>
      </c>
      <c r="J61" vm="1450">
        <f ca="1"/>
        <v>129.75899999999999</v>
      </c>
      <c r="K61" vm="1451">
        <f ca="1"/>
        <v>237.96119999999999</v>
      </c>
      <c r="L61" vm="1452">
        <f ca="1"/>
        <v>882.55</v>
      </c>
      <c r="M61" vm="1453">
        <f ca="1"/>
        <v>55.18</v>
      </c>
      <c r="N61" vm="1454">
        <f ca="1"/>
        <v>24.344999999999999</v>
      </c>
      <c r="O61" vm="1455">
        <f ca="1"/>
        <v>161.69999999999999</v>
      </c>
      <c r="P61" vm="1456">
        <f ca="1"/>
        <v>240.80090000000001</v>
      </c>
      <c r="Q61" vm="1457">
        <f ca="1"/>
        <v>2.7054</v>
      </c>
      <c r="R61" vm="920">
        <f ca="1"/>
        <v>4.6064999999999996</v>
      </c>
      <c r="S61" vm="1458">
        <f ca="1"/>
        <v>87.62</v>
      </c>
      <c r="T61" vm="1459">
        <f ca="1"/>
        <v>4.5755999999999997</v>
      </c>
      <c r="U61" vm="1460">
        <f ca="1"/>
        <v>252.55</v>
      </c>
      <c r="V61" vm="1461">
        <f ca="1"/>
        <v>265.31400000000002</v>
      </c>
      <c r="W61" vm="1462">
        <f ca="1"/>
        <v>159.02000000000001</v>
      </c>
      <c r="X61" vm="1463">
        <f ca="1"/>
        <v>294.6207</v>
      </c>
      <c r="Y61" vm="1464">
        <f ca="1"/>
        <v>108.2089</v>
      </c>
      <c r="Z61" vm="1465">
        <f ca="1"/>
        <v>213.626</v>
      </c>
      <c r="AA61" vm="1466">
        <f ca="1"/>
        <v>13.752000000000001</v>
      </c>
      <c r="AB61" vm="1467">
        <f ca="1"/>
        <v>15.02</v>
      </c>
      <c r="AC61" vm="1468">
        <f ca="1"/>
        <v>25.3</v>
      </c>
      <c r="AD61" vm="1469">
        <f ca="1"/>
        <v>146.56</v>
      </c>
      <c r="AE61" vm="1470">
        <f ca="1"/>
        <v>123.93</v>
      </c>
      <c r="AF61" vm="1471">
        <f ca="1"/>
        <v>175.2</v>
      </c>
      <c r="AG61" vm="1472">
        <f ca="1"/>
        <v>424.38</v>
      </c>
      <c r="AH61" vm="1473">
        <f ca="1"/>
        <v>421.18</v>
      </c>
      <c r="AI61" vm="1474">
        <f ca="1"/>
        <v>141.69</v>
      </c>
      <c r="AJ61" vm="1475">
        <f ca="1"/>
        <v>115.36</v>
      </c>
      <c r="AK61" vm="1476">
        <f ca="1"/>
        <v>1049.9507000000001</v>
      </c>
      <c r="AL61" t="str">
        <f ca="1"/>
        <v/>
      </c>
      <c r="AM61" vm="1477">
        <f ca="1"/>
        <v>111.84</v>
      </c>
      <c r="AN61" vm="1478">
        <f ca="1"/>
        <v>132.28</v>
      </c>
      <c r="AO61" vm="1367">
        <f ca="1"/>
        <v>414</v>
      </c>
    </row>
    <row r="62" spans="1:41" x14ac:dyDescent="0.4">
      <c r="A62" s="1">
        <f ca="1"/>
        <v>46052</v>
      </c>
      <c r="B62" vm="1479">
        <f ca="1"/>
        <v>11.336</v>
      </c>
      <c r="C62" vm="1480">
        <f ca="1"/>
        <v>112.28</v>
      </c>
      <c r="D62" vm="1481">
        <f ca="1"/>
        <v>175.00630000000001</v>
      </c>
      <c r="E62" vm="1482">
        <f ca="1"/>
        <v>605.33799999999997</v>
      </c>
      <c r="F62" vm="1483">
        <f ca="1"/>
        <v>21.36</v>
      </c>
      <c r="G62" vm="1484">
        <f ca="1"/>
        <v>258.48599999999999</v>
      </c>
      <c r="H62" vm="1485">
        <f ca="1"/>
        <v>645.62300000000005</v>
      </c>
      <c r="I62" vm="1486">
        <f ca="1"/>
        <v>71.48</v>
      </c>
      <c r="J62" vm="1487">
        <f ca="1"/>
        <v>127.8724</v>
      </c>
      <c r="K62" vm="1488">
        <f ca="1"/>
        <v>237.91669999999999</v>
      </c>
      <c r="L62" vm="1489">
        <f ca="1"/>
        <v>882.17</v>
      </c>
      <c r="M62" vm="1490">
        <f ca="1"/>
        <v>55.7</v>
      </c>
      <c r="N62" vm="1491">
        <f ca="1"/>
        <v>24.175000000000001</v>
      </c>
      <c r="O62" vm="1492">
        <f ca="1"/>
        <v>158.75</v>
      </c>
      <c r="P62" vm="1493">
        <f ca="1"/>
        <v>236.51650000000001</v>
      </c>
      <c r="Q62" vm="1494">
        <f ca="1"/>
        <v>2.7139000000000002</v>
      </c>
      <c r="R62" vm="1495">
        <f ca="1"/>
        <v>4.6040000000000001</v>
      </c>
      <c r="S62" vm="1496">
        <f ca="1"/>
        <v>87.13</v>
      </c>
      <c r="T62" vm="1497">
        <f ca="1"/>
        <v>4.5655999999999999</v>
      </c>
      <c r="U62" vm="1498">
        <f ca="1"/>
        <v>252.4</v>
      </c>
      <c r="V62" vm="1499">
        <f ca="1"/>
        <v>265.9042</v>
      </c>
      <c r="W62" vm="1500">
        <f ca="1"/>
        <v>159.13</v>
      </c>
      <c r="X62" vm="1501">
        <f ca="1"/>
        <v>295.39710000000002</v>
      </c>
      <c r="Y62" vm="1502">
        <f ca="1"/>
        <v>108.2071</v>
      </c>
      <c r="Z62" vm="1503">
        <f ca="1"/>
        <v>213.63399999999999</v>
      </c>
      <c r="AA62" vm="1504">
        <f ca="1"/>
        <v>13.672000000000001</v>
      </c>
      <c r="AB62" vm="1505">
        <f ca="1"/>
        <v>14.52</v>
      </c>
      <c r="AC62" vm="1506">
        <f ca="1"/>
        <v>24.43</v>
      </c>
      <c r="AD62" vm="1507">
        <f ca="1"/>
        <v>146.66</v>
      </c>
      <c r="AE62" vm="1076">
        <f ca="1"/>
        <v>123.81</v>
      </c>
      <c r="AF62" vm="1508">
        <f ca="1"/>
        <v>165.62</v>
      </c>
      <c r="AG62" vm="1509">
        <f ca="1"/>
        <v>402.44</v>
      </c>
      <c r="AH62" vm="1510">
        <f ca="1"/>
        <v>398.98</v>
      </c>
      <c r="AI62" vm="1511">
        <f ca="1"/>
        <v>134.41</v>
      </c>
      <c r="AJ62" vm="1475">
        <f ca="1"/>
        <v>115.36</v>
      </c>
      <c r="AK62" vm="1512">
        <f ca="1"/>
        <v>1042.5272</v>
      </c>
      <c r="AL62" vm="1513">
        <f ca="1"/>
        <v>171.55930000000001</v>
      </c>
      <c r="AM62" vm="1514">
        <f ca="1"/>
        <v>106.76</v>
      </c>
      <c r="AN62" vm="1515">
        <f ca="1"/>
        <v>129.4</v>
      </c>
      <c r="AO62" vm="1367">
        <f ca="1"/>
        <v>414</v>
      </c>
    </row>
    <row r="63" spans="1:41" x14ac:dyDescent="0.4">
      <c r="A63" s="1">
        <f ca="1"/>
        <v>46053</v>
      </c>
      <c r="B63" t="str">
        <f ca="1"/>
        <v/>
      </c>
      <c r="C63" t="str">
        <f ca="1"/>
        <v/>
      </c>
      <c r="D63" t="str">
        <f ca="1"/>
        <v/>
      </c>
      <c r="E63" t="str">
        <f ca="1"/>
        <v/>
      </c>
      <c r="F63" t="str">
        <f ca="1"/>
        <v/>
      </c>
      <c r="G63" t="str">
        <f ca="1"/>
        <v/>
      </c>
      <c r="H63" t="str">
        <f ca="1"/>
        <v/>
      </c>
      <c r="I63" t="str">
        <f ca="1"/>
        <v/>
      </c>
      <c r="J63" t="str">
        <f ca="1"/>
        <v/>
      </c>
      <c r="K63" t="str">
        <f ca="1"/>
        <v/>
      </c>
      <c r="L63" t="str">
        <f ca="1"/>
        <v/>
      </c>
      <c r="M63" t="str">
        <f ca="1"/>
        <v/>
      </c>
      <c r="N63" t="str">
        <f ca="1"/>
        <v/>
      </c>
      <c r="O63" t="str">
        <f ca="1"/>
        <v/>
      </c>
      <c r="P63" t="str">
        <f ca="1"/>
        <v/>
      </c>
      <c r="Q63" t="str">
        <f ca="1"/>
        <v/>
      </c>
      <c r="R63" t="str">
        <f ca="1"/>
        <v/>
      </c>
      <c r="S63" t="str">
        <f ca="1"/>
        <v/>
      </c>
      <c r="T63" t="str">
        <f ca="1"/>
        <v/>
      </c>
      <c r="U63" t="str">
        <f ca="1"/>
        <v/>
      </c>
      <c r="V63" t="str">
        <f ca="1"/>
        <v/>
      </c>
      <c r="W63" t="str">
        <f ca="1"/>
        <v/>
      </c>
      <c r="X63" t="str">
        <f ca="1"/>
        <v/>
      </c>
      <c r="Y63" t="str">
        <f ca="1"/>
        <v/>
      </c>
      <c r="Z63" t="str">
        <f ca="1"/>
        <v/>
      </c>
      <c r="AA63" t="str">
        <f ca="1"/>
        <v/>
      </c>
      <c r="AB63" t="str">
        <f ca="1"/>
        <v/>
      </c>
      <c r="AC63" t="str">
        <f ca="1"/>
        <v/>
      </c>
      <c r="AD63" t="str">
        <f ca="1"/>
        <v/>
      </c>
      <c r="AE63" t="str">
        <f ca="1"/>
        <v/>
      </c>
      <c r="AF63" t="str">
        <f ca="1"/>
        <v/>
      </c>
      <c r="AG63" t="str">
        <f ca="1"/>
        <v/>
      </c>
      <c r="AH63" t="str">
        <f ca="1"/>
        <v/>
      </c>
      <c r="AI63" t="str">
        <f ca="1"/>
        <v/>
      </c>
      <c r="AJ63" t="str">
        <f ca="1"/>
        <v/>
      </c>
      <c r="AK63" t="str">
        <f ca="1"/>
        <v/>
      </c>
      <c r="AL63" t="str">
        <f ca="1"/>
        <v/>
      </c>
      <c r="AM63" t="str">
        <f ca="1"/>
        <v/>
      </c>
      <c r="AN63" t="str">
        <f ca="1"/>
        <v/>
      </c>
      <c r="AO63" t="str">
        <f ca="1"/>
        <v/>
      </c>
    </row>
    <row r="64" spans="1:41" x14ac:dyDescent="0.4">
      <c r="A64" s="1">
        <f ca="1"/>
        <v>46054</v>
      </c>
      <c r="B64" t="str">
        <f ca="1"/>
        <v/>
      </c>
      <c r="C64" t="str">
        <f ca="1"/>
        <v/>
      </c>
      <c r="D64" t="str">
        <f ca="1"/>
        <v/>
      </c>
      <c r="E64" t="str">
        <f ca="1"/>
        <v/>
      </c>
      <c r="F64" t="str">
        <f ca="1"/>
        <v/>
      </c>
      <c r="G64" t="str">
        <f ca="1"/>
        <v/>
      </c>
      <c r="H64" t="str">
        <f ca="1"/>
        <v/>
      </c>
      <c r="I64" t="str">
        <f ca="1"/>
        <v/>
      </c>
      <c r="J64" t="str">
        <f ca="1"/>
        <v/>
      </c>
      <c r="K64" t="str">
        <f ca="1"/>
        <v/>
      </c>
      <c r="L64" t="str">
        <f ca="1"/>
        <v/>
      </c>
      <c r="M64" t="str">
        <f ca="1"/>
        <v/>
      </c>
      <c r="N64" t="str">
        <f ca="1"/>
        <v/>
      </c>
      <c r="O64" t="str">
        <f ca="1"/>
        <v/>
      </c>
      <c r="P64" t="str">
        <f ca="1"/>
        <v/>
      </c>
      <c r="Q64" t="str">
        <f ca="1"/>
        <v/>
      </c>
      <c r="R64" t="str">
        <f ca="1"/>
        <v/>
      </c>
      <c r="S64" t="str">
        <f ca="1"/>
        <v/>
      </c>
      <c r="T64" t="str">
        <f ca="1"/>
        <v/>
      </c>
      <c r="U64" t="str">
        <f ca="1"/>
        <v/>
      </c>
      <c r="V64" t="str">
        <f ca="1"/>
        <v/>
      </c>
      <c r="W64" t="str">
        <f ca="1"/>
        <v/>
      </c>
      <c r="X64" t="str">
        <f ca="1"/>
        <v/>
      </c>
      <c r="Y64" t="str">
        <f ca="1"/>
        <v/>
      </c>
      <c r="Z64" t="str">
        <f ca="1"/>
        <v/>
      </c>
      <c r="AA64" t="str">
        <f ca="1"/>
        <v/>
      </c>
      <c r="AB64" t="str">
        <f ca="1"/>
        <v/>
      </c>
      <c r="AC64" t="str">
        <f ca="1"/>
        <v/>
      </c>
      <c r="AD64" t="str">
        <f ca="1"/>
        <v/>
      </c>
      <c r="AE64" t="str">
        <f ca="1"/>
        <v/>
      </c>
      <c r="AF64" t="str">
        <f ca="1"/>
        <v/>
      </c>
      <c r="AG64" t="str">
        <f ca="1"/>
        <v/>
      </c>
      <c r="AH64" t="str">
        <f ca="1"/>
        <v/>
      </c>
      <c r="AI64" t="str">
        <f ca="1"/>
        <v/>
      </c>
      <c r="AJ64" t="str">
        <f ca="1"/>
        <v/>
      </c>
      <c r="AK64" t="str">
        <f ca="1"/>
        <v/>
      </c>
      <c r="AL64" t="str">
        <f ca="1"/>
        <v/>
      </c>
      <c r="AM64" t="str">
        <f ca="1"/>
        <v/>
      </c>
      <c r="AN64" t="str">
        <f ca="1"/>
        <v/>
      </c>
      <c r="AO64" t="str">
        <f ca="1"/>
        <v/>
      </c>
    </row>
    <row r="65" spans="1:41" x14ac:dyDescent="0.4">
      <c r="A65" s="1">
        <f ca="1"/>
        <v>46055</v>
      </c>
      <c r="B65" vm="1516">
        <f ca="1"/>
        <v>11.464</v>
      </c>
      <c r="C65" vm="1517">
        <f ca="1"/>
        <v>113.44</v>
      </c>
      <c r="D65" vm="1518">
        <f ca="1"/>
        <v>176.9691</v>
      </c>
      <c r="E65" vm="1519">
        <f ca="1"/>
        <v>613.55840000000001</v>
      </c>
      <c r="F65" vm="1520">
        <f ca="1"/>
        <v>21.72</v>
      </c>
      <c r="G65" vm="1521">
        <f ca="1"/>
        <v>262.66469999999998</v>
      </c>
      <c r="H65" vm="1522">
        <f ca="1"/>
        <v>653.21190000000001</v>
      </c>
      <c r="I65" vm="1523">
        <f ca="1"/>
        <v>71.97</v>
      </c>
      <c r="J65" vm="1524">
        <f ca="1"/>
        <v>128.2842</v>
      </c>
      <c r="K65" vm="1525">
        <f ca="1"/>
        <v>240.32480000000001</v>
      </c>
      <c r="L65" vm="1526">
        <f ca="1"/>
        <v>894.24</v>
      </c>
      <c r="M65" vm="1527">
        <f ca="1"/>
        <v>56.47</v>
      </c>
      <c r="N65" vm="1528">
        <f ca="1"/>
        <v>24.22</v>
      </c>
      <c r="O65" vm="326">
        <f ca="1"/>
        <v>157.22999999999999</v>
      </c>
      <c r="P65" vm="1529">
        <f ca="1"/>
        <v>234.24889999999999</v>
      </c>
      <c r="Q65" vm="1530">
        <f ca="1"/>
        <v>2.7202000000000002</v>
      </c>
      <c r="R65" vm="1531">
        <f ca="1"/>
        <v>4.5890000000000004</v>
      </c>
      <c r="S65" vm="1532">
        <f ca="1"/>
        <v>86.55</v>
      </c>
      <c r="T65" vm="1533">
        <f ca="1"/>
        <v>4.5514000000000001</v>
      </c>
      <c r="U65" vm="1534">
        <f ca="1"/>
        <v>251.49</v>
      </c>
      <c r="V65" vm="1535">
        <f ca="1"/>
        <v>265.48399999999998</v>
      </c>
      <c r="W65" vm="1536">
        <f ca="1"/>
        <v>159.11000000000001</v>
      </c>
      <c r="X65" vm="1537">
        <f ca="1"/>
        <v>295.0822</v>
      </c>
      <c r="Y65" vm="1538">
        <f ca="1"/>
        <v>108.1434</v>
      </c>
      <c r="Z65" vm="1539">
        <f ca="1"/>
        <v>213.751</v>
      </c>
      <c r="AA65" vm="1540">
        <f ca="1"/>
        <v>13.308</v>
      </c>
      <c r="AB65" vm="1541">
        <f ca="1"/>
        <v>13.97</v>
      </c>
      <c r="AC65" vm="1542">
        <f ca="1"/>
        <v>23.54</v>
      </c>
      <c r="AD65" vm="1543">
        <f ca="1"/>
        <v>146.58000000000001</v>
      </c>
      <c r="AE65" t="str">
        <f ca="1"/>
        <v/>
      </c>
      <c r="AF65" vm="1544">
        <f ca="1"/>
        <v>156.61000000000001</v>
      </c>
      <c r="AG65" vm="1545">
        <f ca="1"/>
        <v>380.48</v>
      </c>
      <c r="AH65" vm="1546">
        <f ca="1"/>
        <v>378.24</v>
      </c>
      <c r="AI65" vm="1547">
        <f ca="1"/>
        <v>127.06</v>
      </c>
      <c r="AJ65" vm="1548">
        <f ca="1"/>
        <v>115.19</v>
      </c>
      <c r="AK65" vm="1549">
        <f ca="1"/>
        <v>1041.5473</v>
      </c>
      <c r="AL65" t="str">
        <f ca="1"/>
        <v/>
      </c>
      <c r="AM65" vm="1550">
        <f ca="1"/>
        <v>115.04</v>
      </c>
      <c r="AN65" vm="1551">
        <f ca="1"/>
        <v>134.46</v>
      </c>
      <c r="AO65" vm="1552">
        <f ca="1"/>
        <v>417</v>
      </c>
    </row>
    <row r="66" spans="1:41" x14ac:dyDescent="0.4">
      <c r="A66" s="1">
        <f ca="1"/>
        <v>46056</v>
      </c>
      <c r="B66" vm="1553">
        <f ca="1"/>
        <v>11.417999999999999</v>
      </c>
      <c r="C66" vm="1554">
        <f ca="1"/>
        <v>112.965</v>
      </c>
      <c r="D66" vm="1555">
        <f ca="1"/>
        <v>177.33330000000001</v>
      </c>
      <c r="E66" vm="1556">
        <f ca="1"/>
        <v>616.90340000000003</v>
      </c>
      <c r="F66" vm="1557">
        <f ca="1"/>
        <v>21.954999999999998</v>
      </c>
      <c r="G66" vm="1558">
        <f ca="1"/>
        <v>264.72949999999997</v>
      </c>
      <c r="H66" vm="1559">
        <f ca="1"/>
        <v>662.49670000000003</v>
      </c>
      <c r="I66" vm="1560">
        <f ca="1"/>
        <v>71.849999999999994</v>
      </c>
      <c r="J66" vm="1561">
        <f ca="1"/>
        <v>126.6961</v>
      </c>
      <c r="K66" vm="1562">
        <f ca="1"/>
        <v>242.80009999999999</v>
      </c>
      <c r="L66" vm="1563">
        <f ca="1"/>
        <v>900.96</v>
      </c>
      <c r="M66" vm="1564">
        <f ca="1"/>
        <v>56.81</v>
      </c>
      <c r="N66" vm="1565">
        <f ca="1"/>
        <v>24.45</v>
      </c>
      <c r="O66" vm="1566">
        <f ca="1"/>
        <v>160.32</v>
      </c>
      <c r="P66" vm="1567">
        <f ca="1"/>
        <v>238.98140000000001</v>
      </c>
      <c r="Q66" vm="1568">
        <f ca="1"/>
        <v>2.7138</v>
      </c>
      <c r="R66" vm="1569">
        <f ca="1"/>
        <v>4.5724999999999998</v>
      </c>
      <c r="S66" vm="1570">
        <f ca="1"/>
        <v>86.76</v>
      </c>
      <c r="T66" vm="1571">
        <f ca="1"/>
        <v>4.5278</v>
      </c>
      <c r="U66" vm="1572">
        <f ca="1"/>
        <v>250.19</v>
      </c>
      <c r="V66" vm="1573">
        <f ca="1"/>
        <v>264.75900000000001</v>
      </c>
      <c r="W66" vm="1574">
        <f ca="1"/>
        <v>158.99</v>
      </c>
      <c r="X66" vm="1575">
        <f ca="1"/>
        <v>294.3895</v>
      </c>
      <c r="Y66" vm="1576">
        <f ca="1"/>
        <v>108.1245</v>
      </c>
      <c r="Z66" vm="1577">
        <f ca="1"/>
        <v>213.71899999999999</v>
      </c>
      <c r="AA66" vm="1578">
        <f ca="1"/>
        <v>13.458</v>
      </c>
      <c r="AB66" vm="1579">
        <f ca="1"/>
        <v>14.33</v>
      </c>
      <c r="AC66" vm="1580">
        <f ca="1"/>
        <v>24.15</v>
      </c>
      <c r="AD66" vm="1002">
        <f ca="1"/>
        <v>146.43</v>
      </c>
      <c r="AE66" vm="1581">
        <f ca="1"/>
        <v>123.45</v>
      </c>
      <c r="AF66" vm="1582">
        <f ca="1"/>
        <v>167.13</v>
      </c>
      <c r="AG66" vm="1583">
        <f ca="1"/>
        <v>406.32</v>
      </c>
      <c r="AH66" vm="1584">
        <f ca="1"/>
        <v>403.52</v>
      </c>
      <c r="AI66" vm="1585">
        <f ca="1"/>
        <v>135.65</v>
      </c>
      <c r="AJ66" vm="1586">
        <f ca="1"/>
        <v>115.21</v>
      </c>
      <c r="AK66" vm="1587">
        <f ca="1"/>
        <v>1047.5123000000001</v>
      </c>
      <c r="AL66" t="str">
        <f ca="1"/>
        <v/>
      </c>
      <c r="AM66" vm="1588">
        <f ca="1"/>
        <v>116.72</v>
      </c>
      <c r="AN66" vm="1589">
        <f ca="1"/>
        <v>134.54</v>
      </c>
      <c r="AO66" vm="1590">
        <f ca="1"/>
        <v>421</v>
      </c>
    </row>
    <row r="67" spans="1:41" x14ac:dyDescent="0.4">
      <c r="A67" s="1">
        <f ca="1"/>
        <v>46057</v>
      </c>
      <c r="B67" vm="1591">
        <f ca="1"/>
        <v>11.374000000000001</v>
      </c>
      <c r="C67" vm="1592">
        <f ca="1"/>
        <v>112.7</v>
      </c>
      <c r="D67" vm="1593">
        <f ca="1"/>
        <v>179.08090000000001</v>
      </c>
      <c r="E67" vm="1594">
        <f ca="1"/>
        <v>624.72640000000001</v>
      </c>
      <c r="F67" vm="1595">
        <f ca="1"/>
        <v>22.245000000000001</v>
      </c>
      <c r="G67" vm="1596">
        <f ca="1"/>
        <v>268.70530000000002</v>
      </c>
      <c r="H67" vm="1597">
        <f ca="1"/>
        <v>677.42179999999996</v>
      </c>
      <c r="I67" vm="1598">
        <f ca="1"/>
        <v>70.069999999999993</v>
      </c>
      <c r="J67" vm="1599">
        <f ca="1"/>
        <v>127.15309999999999</v>
      </c>
      <c r="K67" vm="1600">
        <f ca="1"/>
        <v>246.16079999999999</v>
      </c>
      <c r="L67" vm="1601">
        <f ca="1"/>
        <v>912.07</v>
      </c>
      <c r="M67" vm="1602">
        <f ca="1"/>
        <v>57.07</v>
      </c>
      <c r="N67" vm="1603">
        <f ca="1"/>
        <v>24.29</v>
      </c>
      <c r="O67" vm="1604">
        <f ca="1"/>
        <v>162</v>
      </c>
      <c r="P67" vm="1605">
        <f ca="1"/>
        <v>240.9727</v>
      </c>
      <c r="Q67" vm="1606">
        <f ca="1"/>
        <v>2.718</v>
      </c>
      <c r="R67" vm="1607">
        <f ca="1"/>
        <v>4.5824999999999996</v>
      </c>
      <c r="S67" vm="1608">
        <f ca="1"/>
        <v>86.54</v>
      </c>
      <c r="T67" vm="1609">
        <f ca="1"/>
        <v>4.5433000000000003</v>
      </c>
      <c r="U67" vm="1610">
        <f ca="1"/>
        <v>250.86</v>
      </c>
      <c r="V67" vm="1611">
        <f ca="1"/>
        <v>266.72179999999997</v>
      </c>
      <c r="W67" vm="1612">
        <f ca="1"/>
        <v>159.36000000000001</v>
      </c>
      <c r="X67" vm="1613">
        <f ca="1"/>
        <v>296.19459999999998</v>
      </c>
      <c r="Y67" vm="1614">
        <f ca="1"/>
        <v>108.1733</v>
      </c>
      <c r="Z67" vm="1615">
        <f ca="1"/>
        <v>213.68700000000001</v>
      </c>
      <c r="AA67" vm="1616">
        <f ca="1"/>
        <v>13.465999999999999</v>
      </c>
      <c r="AB67" vm="1617">
        <f ca="1"/>
        <v>14.36</v>
      </c>
      <c r="AC67" vm="1618">
        <f ca="1"/>
        <v>24.19</v>
      </c>
      <c r="AD67" vm="1619">
        <f ca="1"/>
        <v>146.80000000000001</v>
      </c>
      <c r="AE67" vm="1620">
        <f ca="1"/>
        <v>123.55</v>
      </c>
      <c r="AF67" vm="1621">
        <f ca="1"/>
        <v>165.41</v>
      </c>
      <c r="AG67" vm="1622">
        <f ca="1"/>
        <v>401.7</v>
      </c>
      <c r="AH67" vm="1623">
        <f ca="1"/>
        <v>398.94</v>
      </c>
      <c r="AI67" vm="1624">
        <f ca="1"/>
        <v>134.11000000000001</v>
      </c>
      <c r="AJ67" vm="1625">
        <f ca="1"/>
        <v>115.57</v>
      </c>
      <c r="AK67" vm="1626">
        <f ca="1"/>
        <v>1047.2072000000001</v>
      </c>
      <c r="AL67" t="str">
        <f ca="1"/>
        <v/>
      </c>
      <c r="AM67" vm="1627">
        <f ca="1"/>
        <v>116.76</v>
      </c>
      <c r="AN67" vm="1628">
        <f ca="1"/>
        <v>134.69999999999999</v>
      </c>
      <c r="AO67" vm="1629">
        <f ca="1"/>
        <v>422.5</v>
      </c>
    </row>
    <row r="68" spans="1:41" x14ac:dyDescent="0.4">
      <c r="A68" s="1">
        <f ca="1"/>
        <v>46058</v>
      </c>
      <c r="B68" vm="1630">
        <f ca="1"/>
        <v>11.27</v>
      </c>
      <c r="C68" vm="1631">
        <f ca="1"/>
        <v>111.565</v>
      </c>
      <c r="D68" vm="1632">
        <f ca="1"/>
        <v>177.3254</v>
      </c>
      <c r="E68" vm="1633">
        <f ca="1"/>
        <v>620.029</v>
      </c>
      <c r="F68" vm="1634">
        <f ca="1"/>
        <v>22</v>
      </c>
      <c r="G68" vm="1635">
        <f ca="1"/>
        <v>267.46089999999998</v>
      </c>
      <c r="H68" vm="1636">
        <f ca="1"/>
        <v>670.73829999999998</v>
      </c>
      <c r="I68" vm="1637">
        <f ca="1"/>
        <v>69.260000000000005</v>
      </c>
      <c r="J68" vm="1638">
        <f ca="1"/>
        <v>127.1435</v>
      </c>
      <c r="K68" vm="1639">
        <f ca="1"/>
        <v>245.6146</v>
      </c>
      <c r="L68" vm="1640">
        <f ca="1"/>
        <v>910.77</v>
      </c>
      <c r="M68" vm="1641">
        <f ca="1"/>
        <v>56.51</v>
      </c>
      <c r="N68" vm="1642">
        <f ca="1"/>
        <v>24.184999999999999</v>
      </c>
      <c r="O68" vm="1643">
        <f ca="1"/>
        <v>159.83000000000001</v>
      </c>
      <c r="P68" vm="1644">
        <f ca="1"/>
        <v>237.94380000000001</v>
      </c>
      <c r="Q68" vm="1645">
        <f ca="1"/>
        <v>2.7431999999999999</v>
      </c>
      <c r="R68" vm="683">
        <f ca="1"/>
        <v>4.6154999999999999</v>
      </c>
      <c r="S68" vm="1646">
        <f ca="1"/>
        <v>87.48</v>
      </c>
      <c r="T68" vm="1647">
        <f ca="1"/>
        <v>4.5551000000000004</v>
      </c>
      <c r="U68" vm="1534">
        <f ca="1"/>
        <v>251.49</v>
      </c>
      <c r="V68" vm="1648">
        <f ca="1"/>
        <v>267.8528</v>
      </c>
      <c r="W68" vm="1649">
        <f ca="1"/>
        <v>159.58000000000001</v>
      </c>
      <c r="X68" vm="1650">
        <f ca="1"/>
        <v>297.1112</v>
      </c>
      <c r="Y68" vm="1651">
        <f ca="1"/>
        <v>108.3065</v>
      </c>
      <c r="Z68" vm="1652">
        <f ca="1"/>
        <v>213.59299999999999</v>
      </c>
      <c r="AA68" vm="1653">
        <f ca="1"/>
        <v>13.352</v>
      </c>
      <c r="AB68" vm="1654">
        <f ca="1"/>
        <v>14.12</v>
      </c>
      <c r="AC68" vm="1655">
        <f ca="1"/>
        <v>23.76</v>
      </c>
      <c r="AD68" vm="1656">
        <f ca="1"/>
        <v>146.81</v>
      </c>
      <c r="AE68" vm="1657">
        <f ca="1"/>
        <v>123.05</v>
      </c>
      <c r="AF68" vm="1658">
        <f ca="1"/>
        <v>163.05000000000001</v>
      </c>
      <c r="AG68" vm="1659">
        <f ca="1"/>
        <v>395.86</v>
      </c>
      <c r="AH68" vm="1660">
        <f ca="1"/>
        <v>393.24</v>
      </c>
      <c r="AI68" vm="1661">
        <f ca="1"/>
        <v>132.24</v>
      </c>
      <c r="AJ68" vm="1662">
        <f ca="1"/>
        <v>116.32</v>
      </c>
      <c r="AK68" vm="1663">
        <f ca="1"/>
        <v>1040.5064</v>
      </c>
      <c r="AL68" t="str">
        <f ca="1"/>
        <v/>
      </c>
      <c r="AM68" vm="1664">
        <f ca="1"/>
        <v>116.32</v>
      </c>
      <c r="AN68" vm="1665">
        <f ca="1"/>
        <v>134.58000000000001</v>
      </c>
      <c r="AO68" vm="1666">
        <f ca="1"/>
        <v>432</v>
      </c>
    </row>
    <row r="69" spans="1:41" x14ac:dyDescent="0.4">
      <c r="A69" s="1">
        <f ca="1"/>
        <v>46059</v>
      </c>
      <c r="B69" vm="1667">
        <f ca="1"/>
        <v>11.39</v>
      </c>
      <c r="C69" vm="1668">
        <f ca="1"/>
        <v>112.675</v>
      </c>
      <c r="D69" vm="1669">
        <f ca="1"/>
        <v>179.1086</v>
      </c>
      <c r="E69" vm="1670">
        <f ca="1"/>
        <v>626.08759999999995</v>
      </c>
      <c r="F69" vm="1671">
        <f ca="1"/>
        <v>22.45</v>
      </c>
      <c r="G69" vm="1672">
        <f ca="1"/>
        <v>269.13249999999999</v>
      </c>
      <c r="H69" vm="1673">
        <f ca="1"/>
        <v>675.87649999999996</v>
      </c>
      <c r="I69" vm="1674">
        <f ca="1"/>
        <v>70.86</v>
      </c>
      <c r="J69" vm="1675">
        <f ca="1"/>
        <v>127.2475</v>
      </c>
      <c r="K69" vm="1676">
        <f ca="1"/>
        <v>247.893</v>
      </c>
      <c r="L69" vm="1677">
        <f ca="1"/>
        <v>922.62</v>
      </c>
      <c r="M69" vm="1678">
        <f ca="1"/>
        <v>57.38</v>
      </c>
      <c r="N69" vm="1679">
        <f ca="1"/>
        <v>24.515000000000001</v>
      </c>
      <c r="O69" vm="1680">
        <f ca="1"/>
        <v>159.52000000000001</v>
      </c>
      <c r="P69" vm="1681">
        <f ca="1"/>
        <v>237.7311</v>
      </c>
      <c r="Q69" vm="1682">
        <f ca="1"/>
        <v>2.7364999999999999</v>
      </c>
      <c r="R69" vm="1683">
        <f ca="1"/>
        <v>4.617</v>
      </c>
      <c r="S69" vm="1684">
        <f ca="1"/>
        <v>87.54</v>
      </c>
      <c r="T69" vm="1685">
        <f ca="1"/>
        <v>4.5461</v>
      </c>
      <c r="U69" vm="1686">
        <f ca="1"/>
        <v>251.05</v>
      </c>
      <c r="V69" vm="1687">
        <f ca="1"/>
        <v>267.80459999999999</v>
      </c>
      <c r="W69" vm="1688">
        <f ca="1"/>
        <v>159.63</v>
      </c>
      <c r="X69" vm="1689">
        <f ca="1"/>
        <v>297.06970000000001</v>
      </c>
      <c r="Y69" vm="1690">
        <f ca="1"/>
        <v>108.2912</v>
      </c>
      <c r="Z69" vm="1691">
        <f ca="1"/>
        <v>213.804</v>
      </c>
      <c r="AA69" vm="1692">
        <f ca="1"/>
        <v>13.43</v>
      </c>
      <c r="AB69" vm="1693">
        <f ca="1"/>
        <v>14.26</v>
      </c>
      <c r="AC69" vm="1694">
        <f ca="1"/>
        <v>24.01</v>
      </c>
      <c r="AD69" vm="1695">
        <f ca="1"/>
        <v>146.79</v>
      </c>
      <c r="AE69" vm="1696">
        <f ca="1"/>
        <v>123.51</v>
      </c>
      <c r="AF69" vm="1697">
        <f ca="1"/>
        <v>165.56</v>
      </c>
      <c r="AG69" vm="1698">
        <f ca="1"/>
        <v>401.98</v>
      </c>
      <c r="AH69" vm="1699">
        <f ca="1"/>
        <v>399.26</v>
      </c>
      <c r="AI69" vm="1700">
        <f ca="1"/>
        <v>134.27000000000001</v>
      </c>
      <c r="AJ69" vm="1475">
        <f ca="1"/>
        <v>115.36</v>
      </c>
      <c r="AK69" vm="1701">
        <f ca="1"/>
        <v>1044.9494999999999</v>
      </c>
      <c r="AL69" t="str">
        <f ca="1"/>
        <v/>
      </c>
      <c r="AM69" vm="1702">
        <f ca="1"/>
        <v>114.92</v>
      </c>
      <c r="AN69" vm="1703">
        <f ca="1"/>
        <v>133.19999999999999</v>
      </c>
      <c r="AO69" vm="1704">
        <f ca="1"/>
        <v>430</v>
      </c>
    </row>
    <row r="70" spans="1:41" x14ac:dyDescent="0.4">
      <c r="A70" s="1">
        <f ca="1"/>
        <v>46060</v>
      </c>
      <c r="B70" t="str">
        <f ca="1"/>
        <v/>
      </c>
      <c r="C70" t="str">
        <f ca="1"/>
        <v/>
      </c>
      <c r="D70" t="str">
        <f ca="1"/>
        <v/>
      </c>
      <c r="E70" t="str">
        <f ca="1"/>
        <v/>
      </c>
      <c r="F70" t="str">
        <f ca="1"/>
        <v/>
      </c>
      <c r="G70" t="str">
        <f ca="1"/>
        <v/>
      </c>
      <c r="H70" t="str">
        <f ca="1"/>
        <v/>
      </c>
      <c r="I70" t="str">
        <f ca="1"/>
        <v/>
      </c>
      <c r="J70" t="str">
        <f ca="1"/>
        <v/>
      </c>
      <c r="K70" t="str">
        <f ca="1"/>
        <v/>
      </c>
      <c r="L70" t="str">
        <f ca="1"/>
        <v/>
      </c>
      <c r="M70" t="str">
        <f ca="1"/>
        <v/>
      </c>
      <c r="N70" t="str">
        <f ca="1"/>
        <v/>
      </c>
      <c r="O70" t="str">
        <f ca="1"/>
        <v/>
      </c>
      <c r="P70" t="str">
        <f ca="1"/>
        <v/>
      </c>
      <c r="Q70" t="str">
        <f ca="1"/>
        <v/>
      </c>
      <c r="R70" t="str">
        <f ca="1"/>
        <v/>
      </c>
      <c r="S70" t="str">
        <f ca="1"/>
        <v/>
      </c>
      <c r="T70" t="str">
        <f ca="1"/>
        <v/>
      </c>
      <c r="U70" t="str">
        <f ca="1"/>
        <v/>
      </c>
      <c r="V70" t="str">
        <f ca="1"/>
        <v/>
      </c>
      <c r="W70" t="str">
        <f ca="1"/>
        <v/>
      </c>
      <c r="X70" t="str">
        <f ca="1"/>
        <v/>
      </c>
      <c r="Y70" t="str">
        <f ca="1"/>
        <v/>
      </c>
      <c r="Z70" t="str">
        <f ca="1"/>
        <v/>
      </c>
      <c r="AA70" t="str">
        <f ca="1"/>
        <v/>
      </c>
      <c r="AB70" t="str">
        <f ca="1"/>
        <v/>
      </c>
      <c r="AC70" t="str">
        <f ca="1"/>
        <v/>
      </c>
      <c r="AD70" t="str">
        <f ca="1"/>
        <v/>
      </c>
      <c r="AE70" t="str">
        <f ca="1"/>
        <v/>
      </c>
      <c r="AF70" t="str">
        <f ca="1"/>
        <v/>
      </c>
      <c r="AG70" t="str">
        <f ca="1"/>
        <v/>
      </c>
      <c r="AH70" t="str">
        <f ca="1"/>
        <v/>
      </c>
      <c r="AI70" t="str">
        <f ca="1"/>
        <v/>
      </c>
      <c r="AJ70" t="str">
        <f ca="1"/>
        <v/>
      </c>
      <c r="AK70" t="str">
        <f ca="1"/>
        <v/>
      </c>
      <c r="AL70" t="str">
        <f ca="1"/>
        <v/>
      </c>
      <c r="AM70" t="str">
        <f ca="1"/>
        <v/>
      </c>
      <c r="AN70" t="str">
        <f ca="1"/>
        <v/>
      </c>
      <c r="AO70" t="str">
        <f ca="1"/>
        <v/>
      </c>
    </row>
    <row r="71" spans="1:41" x14ac:dyDescent="0.4">
      <c r="A71" s="1">
        <f ca="1"/>
        <v>46061</v>
      </c>
      <c r="B71" t="str">
        <f ca="1"/>
        <v/>
      </c>
      <c r="C71" t="str">
        <f ca="1"/>
        <v/>
      </c>
      <c r="D71" t="str">
        <f ca="1"/>
        <v/>
      </c>
      <c r="E71" t="str">
        <f ca="1"/>
        <v/>
      </c>
      <c r="F71" t="str">
        <f ca="1"/>
        <v/>
      </c>
      <c r="G71" t="str">
        <f ca="1"/>
        <v/>
      </c>
      <c r="H71" t="str">
        <f ca="1"/>
        <v/>
      </c>
      <c r="I71" t="str">
        <f ca="1"/>
        <v/>
      </c>
      <c r="J71" t="str">
        <f ca="1"/>
        <v/>
      </c>
      <c r="K71" t="str">
        <f ca="1"/>
        <v/>
      </c>
      <c r="L71" t="str">
        <f ca="1"/>
        <v/>
      </c>
      <c r="M71" t="str">
        <f ca="1"/>
        <v/>
      </c>
      <c r="N71" t="str">
        <f ca="1"/>
        <v/>
      </c>
      <c r="O71" t="str">
        <f ca="1"/>
        <v/>
      </c>
      <c r="P71" t="str">
        <f ca="1"/>
        <v/>
      </c>
      <c r="Q71" t="str">
        <f ca="1"/>
        <v/>
      </c>
      <c r="R71" t="str">
        <f ca="1"/>
        <v/>
      </c>
      <c r="S71" t="str">
        <f ca="1"/>
        <v/>
      </c>
      <c r="T71" t="str">
        <f ca="1"/>
        <v/>
      </c>
      <c r="U71" t="str">
        <f ca="1"/>
        <v/>
      </c>
      <c r="V71" t="str">
        <f ca="1"/>
        <v/>
      </c>
      <c r="W71" t="str">
        <f ca="1"/>
        <v/>
      </c>
      <c r="X71" t="str">
        <f ca="1"/>
        <v/>
      </c>
      <c r="Y71" t="str">
        <f ca="1"/>
        <v/>
      </c>
      <c r="Z71" t="str">
        <f ca="1"/>
        <v/>
      </c>
      <c r="AA71" t="str">
        <f ca="1"/>
        <v/>
      </c>
      <c r="AB71" t="str">
        <f ca="1"/>
        <v/>
      </c>
      <c r="AC71" t="str">
        <f ca="1"/>
        <v/>
      </c>
      <c r="AD71" t="str">
        <f ca="1"/>
        <v/>
      </c>
      <c r="AE71" t="str">
        <f ca="1"/>
        <v/>
      </c>
      <c r="AF71" t="str">
        <f ca="1"/>
        <v/>
      </c>
      <c r="AG71" t="str">
        <f ca="1"/>
        <v/>
      </c>
      <c r="AH71" t="str">
        <f ca="1"/>
        <v/>
      </c>
      <c r="AI71" t="str">
        <f ca="1"/>
        <v/>
      </c>
      <c r="AJ71" t="str">
        <f ca="1"/>
        <v/>
      </c>
      <c r="AK71" t="str">
        <f ca="1"/>
        <v/>
      </c>
      <c r="AL71" t="str">
        <f ca="1"/>
        <v/>
      </c>
      <c r="AM71" t="str">
        <f ca="1"/>
        <v/>
      </c>
      <c r="AN71" t="str">
        <f ca="1"/>
        <v/>
      </c>
      <c r="AO71" t="str">
        <f ca="1"/>
        <v/>
      </c>
    </row>
    <row r="72" spans="1:41" x14ac:dyDescent="0.4">
      <c r="A72" s="1">
        <f ca="1"/>
        <v>46062</v>
      </c>
      <c r="B72" vm="1705">
        <f ca="1"/>
        <v>11.44</v>
      </c>
      <c r="C72" vm="1706">
        <f ca="1"/>
        <v>113.22</v>
      </c>
      <c r="D72" vm="1707">
        <f ca="1"/>
        <v>179.97049999999999</v>
      </c>
      <c r="E72" vm="1708">
        <f ca="1"/>
        <v>628.02629999999999</v>
      </c>
      <c r="F72" vm="1709">
        <f ca="1"/>
        <v>22.59</v>
      </c>
      <c r="G72" vm="1710">
        <f ca="1"/>
        <v>269.33620000000002</v>
      </c>
      <c r="H72" vm="1711">
        <f ca="1"/>
        <v>673.37450000000001</v>
      </c>
      <c r="I72" vm="1712">
        <f ca="1"/>
        <v>72.260000000000005</v>
      </c>
      <c r="J72" vm="1713">
        <f ca="1"/>
        <v>127.5626</v>
      </c>
      <c r="K72" vm="1714">
        <f ca="1"/>
        <v>249.10059999999999</v>
      </c>
      <c r="L72" vm="1715">
        <f ca="1"/>
        <v>926.85</v>
      </c>
      <c r="M72" vm="1716">
        <f ca="1"/>
        <v>57.4</v>
      </c>
      <c r="N72" vm="1717">
        <f ca="1"/>
        <v>24.66</v>
      </c>
      <c r="O72" vm="1718">
        <f ca="1"/>
        <v>161.19</v>
      </c>
      <c r="P72" vm="1719">
        <f ca="1"/>
        <v>240.26089999999999</v>
      </c>
      <c r="Q72" vm="1720">
        <f ca="1"/>
        <v>2.7168999999999999</v>
      </c>
      <c r="R72" vm="1721">
        <f ca="1"/>
        <v>4.6174999999999997</v>
      </c>
      <c r="S72" vm="1722">
        <f ca="1"/>
        <v>87.52</v>
      </c>
      <c r="T72" vm="1723">
        <f ca="1"/>
        <v>4.5350000000000001</v>
      </c>
      <c r="U72" vm="1724">
        <f ca="1"/>
        <v>250.38</v>
      </c>
      <c r="V72" vm="1725">
        <f ca="1"/>
        <v>268.24259999999998</v>
      </c>
      <c r="W72" vm="1726">
        <f ca="1"/>
        <v>159.74</v>
      </c>
      <c r="X72" vm="1727">
        <f ca="1"/>
        <v>297.58350000000002</v>
      </c>
      <c r="Y72" vm="1728">
        <f ca="1"/>
        <v>108.3964</v>
      </c>
      <c r="Z72" vm="1729">
        <f ca="1"/>
        <v>213.929</v>
      </c>
      <c r="AA72" vm="1730">
        <f ca="1"/>
        <v>13.426</v>
      </c>
      <c r="AB72" vm="1731">
        <f ca="1"/>
        <v>14.4</v>
      </c>
      <c r="AC72" vm="1732">
        <f ca="1"/>
        <v>24.25</v>
      </c>
      <c r="AD72" vm="1733">
        <f ca="1"/>
        <v>146.86000000000001</v>
      </c>
      <c r="AE72" vm="521">
        <f ca="1"/>
        <v>123.18</v>
      </c>
      <c r="AF72" vm="1734">
        <f ca="1"/>
        <v>168.97</v>
      </c>
      <c r="AG72" vm="1735">
        <f ca="1"/>
        <v>410.3</v>
      </c>
      <c r="AH72" vm="1736">
        <f ca="1"/>
        <v>407.7</v>
      </c>
      <c r="AI72" vm="1737">
        <f ca="1"/>
        <v>137.08000000000001</v>
      </c>
      <c r="AJ72" vm="1738">
        <f ca="1"/>
        <v>114.98</v>
      </c>
      <c r="AK72" vm="1739">
        <f ca="1"/>
        <v>1052.8033</v>
      </c>
      <c r="AL72" t="str">
        <f ca="1"/>
        <v/>
      </c>
      <c r="AM72" vm="1740">
        <f ca="1"/>
        <v>117.26</v>
      </c>
      <c r="AN72" vm="1741">
        <f ca="1"/>
        <v>134.56</v>
      </c>
      <c r="AO72" vm="1704">
        <f ca="1"/>
        <v>430</v>
      </c>
    </row>
    <row r="73" spans="1:41" x14ac:dyDescent="0.4">
      <c r="A73" s="1">
        <f ca="1"/>
        <v>46063</v>
      </c>
      <c r="B73" vm="1742">
        <f ca="1"/>
        <v>11.472</v>
      </c>
      <c r="C73" vm="1743">
        <f ca="1"/>
        <v>113.465</v>
      </c>
      <c r="D73" vm="1744">
        <f ca="1"/>
        <v>180.2646</v>
      </c>
      <c r="E73" vm="1745">
        <f ca="1"/>
        <v>629.75900000000001</v>
      </c>
      <c r="F73" vm="1746">
        <f ca="1"/>
        <v>22.574999999999999</v>
      </c>
      <c r="G73" vm="1747">
        <f ca="1"/>
        <v>270.26679999999999</v>
      </c>
      <c r="H73" vm="1748">
        <f ca="1"/>
        <v>678.34069999999997</v>
      </c>
      <c r="I73" vm="1749">
        <f ca="1"/>
        <v>72.12</v>
      </c>
      <c r="J73" vm="1750">
        <f ca="1"/>
        <v>128.00110000000001</v>
      </c>
      <c r="K73" vm="1751">
        <f ca="1"/>
        <v>249.8193</v>
      </c>
      <c r="L73" vm="1752">
        <f ca="1"/>
        <v>929.58</v>
      </c>
      <c r="M73" vm="1753">
        <f ca="1"/>
        <v>57.69</v>
      </c>
      <c r="N73" vm="1754">
        <f ca="1"/>
        <v>24.844999999999999</v>
      </c>
      <c r="O73" vm="1755">
        <f ca="1"/>
        <v>159.82</v>
      </c>
      <c r="P73" vm="1756">
        <f ca="1"/>
        <v>240.63149999999999</v>
      </c>
      <c r="Q73" vm="1757">
        <f ca="1"/>
        <v>2.7551000000000001</v>
      </c>
      <c r="R73" vm="1758">
        <f ca="1"/>
        <v>4.6795</v>
      </c>
      <c r="S73" vm="1759">
        <f ca="1"/>
        <v>88.53</v>
      </c>
      <c r="T73" vm="1760">
        <f ca="1"/>
        <v>4.5766</v>
      </c>
      <c r="U73" vm="1761">
        <f ca="1"/>
        <v>252.66</v>
      </c>
      <c r="V73" vm="1762">
        <f ca="1"/>
        <v>269.02659999999997</v>
      </c>
      <c r="W73" vm="1763">
        <f ca="1"/>
        <v>159.88</v>
      </c>
      <c r="X73" vm="1764">
        <f ca="1"/>
        <v>298.54140000000001</v>
      </c>
      <c r="Y73" vm="1765">
        <f ca="1"/>
        <v>108.515</v>
      </c>
      <c r="Z73" vm="1766">
        <f ca="1"/>
        <v>214.02799999999999</v>
      </c>
      <c r="AA73" vm="1767">
        <f ca="1"/>
        <v>13.388</v>
      </c>
      <c r="AB73" vm="1319">
        <f ca="1"/>
        <v>14.34</v>
      </c>
      <c r="AC73" vm="1768">
        <f ca="1"/>
        <v>24.14</v>
      </c>
      <c r="AD73" vm="1769">
        <f ca="1"/>
        <v>146.99</v>
      </c>
      <c r="AE73" vm="1770">
        <f ca="1"/>
        <v>123.83</v>
      </c>
      <c r="AF73" vm="1582">
        <f ca="1"/>
        <v>167.13</v>
      </c>
      <c r="AG73" vm="1771">
        <f ca="1"/>
        <v>405.88</v>
      </c>
      <c r="AH73" vm="1772">
        <f ca="1"/>
        <v>403.1</v>
      </c>
      <c r="AI73" vm="1773">
        <f ca="1"/>
        <v>135.51</v>
      </c>
      <c r="AJ73" vm="1774">
        <f ca="1"/>
        <v>115.13</v>
      </c>
      <c r="AK73" vm="1775">
        <f ca="1"/>
        <v>1054.1159</v>
      </c>
      <c r="AL73" t="str">
        <f ca="1"/>
        <v/>
      </c>
      <c r="AM73" vm="1776">
        <f ca="1"/>
        <v>117.34</v>
      </c>
      <c r="AN73" vm="1777">
        <f ca="1"/>
        <v>134.96</v>
      </c>
      <c r="AO73" vm="1778">
        <f ca="1"/>
        <v>429</v>
      </c>
    </row>
    <row r="74" spans="1:41" x14ac:dyDescent="0.4">
      <c r="A74" s="1">
        <f ca="1"/>
        <v>46064</v>
      </c>
      <c r="B74" vm="1779">
        <f ca="1"/>
        <v>11.492000000000001</v>
      </c>
      <c r="C74" vm="1780">
        <f ca="1"/>
        <v>113.405</v>
      </c>
      <c r="D74" vm="1781">
        <f ca="1"/>
        <v>179.75649999999999</v>
      </c>
      <c r="E74" vm="1782">
        <f ca="1"/>
        <v>629.69010000000003</v>
      </c>
      <c r="F74" vm="1783">
        <f ca="1"/>
        <v>22.69</v>
      </c>
      <c r="G74" vm="1784">
        <f ca="1"/>
        <v>270.9751</v>
      </c>
      <c r="H74" vm="1785">
        <f ca="1"/>
        <v>679.49310000000003</v>
      </c>
      <c r="I74" vm="1786">
        <f ca="1"/>
        <v>71.790000000000006</v>
      </c>
      <c r="J74" vm="1787">
        <f ca="1"/>
        <v>124.1905</v>
      </c>
      <c r="K74" vm="1788">
        <f ca="1"/>
        <v>249.97380000000001</v>
      </c>
      <c r="L74" vm="1789">
        <f ca="1"/>
        <v>928.42</v>
      </c>
      <c r="M74" vm="1790">
        <f ca="1"/>
        <v>58.23</v>
      </c>
      <c r="N74" vm="1791">
        <f ca="1"/>
        <v>25.045000000000002</v>
      </c>
      <c r="O74" vm="1792">
        <f ca="1"/>
        <v>163.68</v>
      </c>
      <c r="P74" vm="1793">
        <f ca="1"/>
        <v>243.98769999999999</v>
      </c>
      <c r="Q74" vm="1794">
        <f ca="1"/>
        <v>2.7541000000000002</v>
      </c>
      <c r="R74" vm="1795">
        <f ca="1"/>
        <v>4.6680000000000001</v>
      </c>
      <c r="S74" vm="1796">
        <f ca="1"/>
        <v>88.06</v>
      </c>
      <c r="T74" vm="1797">
        <f ca="1"/>
        <v>4.5959000000000003</v>
      </c>
      <c r="U74" vm="1798">
        <f ca="1"/>
        <v>253.91</v>
      </c>
      <c r="V74" vm="1799">
        <f ca="1"/>
        <v>268.79050000000001</v>
      </c>
      <c r="W74" vm="1800">
        <f ca="1"/>
        <v>159.81</v>
      </c>
      <c r="X74" vm="1801">
        <f ca="1"/>
        <v>298.31420000000003</v>
      </c>
      <c r="Y74" vm="1802">
        <f ca="1"/>
        <v>108.43210000000001</v>
      </c>
      <c r="Z74" vm="1803">
        <f ca="1"/>
        <v>213.94800000000001</v>
      </c>
      <c r="AA74" vm="1804">
        <f ca="1"/>
        <v>13.51</v>
      </c>
      <c r="AB74" vm="1805">
        <f ca="1"/>
        <v>14.49</v>
      </c>
      <c r="AC74" vm="1806">
        <f ca="1"/>
        <v>24.37</v>
      </c>
      <c r="AD74" vm="1807">
        <f ca="1"/>
        <v>146.93</v>
      </c>
      <c r="AE74" vm="1041">
        <f ca="1"/>
        <v>123.78</v>
      </c>
      <c r="AF74" vm="1808">
        <f ca="1"/>
        <v>169.36</v>
      </c>
      <c r="AG74" vm="1809">
        <f ca="1"/>
        <v>411.26</v>
      </c>
      <c r="AH74" vm="1810">
        <f ca="1"/>
        <v>408.6</v>
      </c>
      <c r="AI74" vm="1811">
        <f ca="1"/>
        <v>137.31</v>
      </c>
      <c r="AJ74" vm="1812">
        <f ca="1"/>
        <v>115.11</v>
      </c>
      <c r="AK74" vm="1813">
        <f ca="1"/>
        <v>1055.316</v>
      </c>
      <c r="AL74" t="str">
        <f ca="1"/>
        <v/>
      </c>
      <c r="AM74" vm="1814">
        <f ca="1"/>
        <v>117.28</v>
      </c>
      <c r="AN74" vm="1815">
        <f ca="1"/>
        <v>135.06</v>
      </c>
      <c r="AO74" vm="1816">
        <f ca="1"/>
        <v>423</v>
      </c>
    </row>
    <row r="75" spans="1:41" x14ac:dyDescent="0.4">
      <c r="A75" s="1">
        <f ca="1"/>
        <v>46065</v>
      </c>
      <c r="B75" vm="1817">
        <f ca="1"/>
        <v>11.486000000000001</v>
      </c>
      <c r="C75" vm="1818">
        <f ca="1"/>
        <v>112.39</v>
      </c>
      <c r="D75" vm="1819">
        <f ca="1"/>
        <v>177.99019999999999</v>
      </c>
      <c r="E75" vm="1820">
        <f ca="1"/>
        <v>625.36329999999998</v>
      </c>
      <c r="F75" vm="1821">
        <f ca="1"/>
        <v>22.495000000000001</v>
      </c>
      <c r="G75" vm="1822">
        <f ca="1"/>
        <v>270.18689999999998</v>
      </c>
      <c r="H75" vm="1823">
        <f ca="1"/>
        <v>679.149</v>
      </c>
      <c r="I75" vm="1824">
        <f ca="1"/>
        <v>70.83</v>
      </c>
      <c r="J75" vm="1825">
        <f ca="1"/>
        <v>120.7448</v>
      </c>
      <c r="K75" vm="1826">
        <f ca="1"/>
        <v>245.7945</v>
      </c>
      <c r="L75" vm="1827">
        <f ca="1"/>
        <v>920.35</v>
      </c>
      <c r="M75" vm="1828">
        <f ca="1"/>
        <v>57.81</v>
      </c>
      <c r="N75" vm="1829">
        <f ca="1"/>
        <v>24.84</v>
      </c>
      <c r="O75" t="str">
        <f ca="1"/>
        <v/>
      </c>
      <c r="P75" vm="1830">
        <f ca="1"/>
        <v>244.1054</v>
      </c>
      <c r="Q75" vm="1831">
        <f ca="1"/>
        <v>2.7707999999999999</v>
      </c>
      <c r="R75" vm="1832">
        <f ca="1"/>
        <v>4.6929999999999996</v>
      </c>
      <c r="S75" vm="1833">
        <f ca="1"/>
        <v>89.23</v>
      </c>
      <c r="T75" vm="1834">
        <f ca="1"/>
        <v>4.609</v>
      </c>
      <c r="U75" vm="1835">
        <f ca="1"/>
        <v>254.65</v>
      </c>
      <c r="V75" vm="1836">
        <f ca="1"/>
        <v>269.82319999999999</v>
      </c>
      <c r="W75" vm="1837">
        <f ca="1"/>
        <v>160.05000000000001</v>
      </c>
      <c r="X75" vm="1838">
        <f ca="1"/>
        <v>299.36590000000001</v>
      </c>
      <c r="Y75" vm="1839">
        <f ca="1"/>
        <v>108.58459999999999</v>
      </c>
      <c r="Z75" vm="1840">
        <f ca="1"/>
        <v>213.92500000000001</v>
      </c>
      <c r="AA75" vm="1841">
        <f ca="1"/>
        <v>13.31</v>
      </c>
      <c r="AB75" vm="1842">
        <f ca="1"/>
        <v>14.16</v>
      </c>
      <c r="AC75" vm="1843">
        <f ca="1"/>
        <v>23.8</v>
      </c>
      <c r="AD75" vm="1844">
        <f ca="1"/>
        <v>147.15</v>
      </c>
      <c r="AE75" vm="1112">
        <f ca="1"/>
        <v>124.15</v>
      </c>
      <c r="AF75" vm="1845">
        <f ca="1"/>
        <v>165.18</v>
      </c>
      <c r="AG75" vm="1846">
        <f ca="1"/>
        <v>400.36</v>
      </c>
      <c r="AH75" vm="1847">
        <f ca="1"/>
        <v>398.12</v>
      </c>
      <c r="AI75" vm="1848">
        <f ca="1"/>
        <v>133.71</v>
      </c>
      <c r="AJ75" vm="1849">
        <f ca="1"/>
        <v>115.94</v>
      </c>
      <c r="AK75" vm="1850">
        <f ca="1"/>
        <v>1049.4413</v>
      </c>
      <c r="AL75" t="str">
        <f ca="1"/>
        <v/>
      </c>
      <c r="AM75" vm="1851">
        <f ca="1"/>
        <v>117.9</v>
      </c>
      <c r="AN75" vm="1852">
        <f ca="1"/>
        <v>135.32</v>
      </c>
      <c r="AO75" vm="1853">
        <f ca="1"/>
        <v>424</v>
      </c>
    </row>
    <row r="76" spans="1:41" x14ac:dyDescent="0.4">
      <c r="A76" s="1">
        <f ca="1"/>
        <v>46066</v>
      </c>
      <c r="B76" vm="1854">
        <f ca="1"/>
        <v>11.38</v>
      </c>
      <c r="C76" vm="1855">
        <f ca="1"/>
        <v>112.255</v>
      </c>
      <c r="D76" vm="1856">
        <f ca="1"/>
        <v>177.8237</v>
      </c>
      <c r="E76" vm="1857">
        <f ca="1"/>
        <v>624.63289999999995</v>
      </c>
      <c r="F76" vm="1858">
        <f ca="1"/>
        <v>22.645</v>
      </c>
      <c r="G76" vm="1859">
        <f ca="1"/>
        <v>268.7647</v>
      </c>
      <c r="H76" vm="1860">
        <f ca="1"/>
        <v>665.69219999999996</v>
      </c>
      <c r="I76" vm="1861">
        <f ca="1"/>
        <v>70.67</v>
      </c>
      <c r="J76" vm="1862">
        <f ca="1"/>
        <v>122.36450000000001</v>
      </c>
      <c r="K76" vm="1863">
        <f ca="1"/>
        <v>244.97139999999999</v>
      </c>
      <c r="L76" vm="1864">
        <f ca="1"/>
        <v>918.19</v>
      </c>
      <c r="M76" vm="1865">
        <f ca="1"/>
        <v>57.65</v>
      </c>
      <c r="N76" vm="1866">
        <f ca="1"/>
        <v>24.745000000000001</v>
      </c>
      <c r="O76" t="str">
        <f ca="1"/>
        <v/>
      </c>
      <c r="P76" vm="1867">
        <f ca="1"/>
        <v>243.59270000000001</v>
      </c>
      <c r="Q76" vm="1868">
        <f ca="1"/>
        <v>2.7999000000000001</v>
      </c>
      <c r="R76" vm="1869">
        <f ca="1"/>
        <v>4.7435</v>
      </c>
      <c r="S76" vm="1870">
        <f ca="1"/>
        <v>89.72</v>
      </c>
      <c r="T76" vm="1871">
        <f ca="1"/>
        <v>4.6261000000000001</v>
      </c>
      <c r="U76" vm="1872">
        <f ca="1"/>
        <v>255.27</v>
      </c>
      <c r="V76" vm="1873">
        <f ca="1"/>
        <v>271.15620000000001</v>
      </c>
      <c r="W76" vm="1874">
        <f ca="1"/>
        <v>160.29</v>
      </c>
      <c r="X76" vm="1875">
        <f ca="1"/>
        <v>300.3331</v>
      </c>
      <c r="Y76" vm="1876">
        <f ca="1"/>
        <v>108.70820000000001</v>
      </c>
      <c r="Z76" vm="1877">
        <f ca="1"/>
        <v>213.91900000000001</v>
      </c>
      <c r="AA76" vm="1878">
        <f ca="1"/>
        <v>13.28</v>
      </c>
      <c r="AB76" vm="1879">
        <f ca="1"/>
        <v>14.17</v>
      </c>
      <c r="AC76" vm="1880">
        <f ca="1"/>
        <v>23.88</v>
      </c>
      <c r="AD76" vm="1881">
        <f ca="1"/>
        <v>147.37</v>
      </c>
      <c r="AE76" vm="1882">
        <f ca="1"/>
        <v>124.42</v>
      </c>
      <c r="AF76" vm="1883">
        <f ca="1"/>
        <v>167.54</v>
      </c>
      <c r="AG76" vm="1884">
        <f ca="1"/>
        <v>406.66</v>
      </c>
      <c r="AH76" vm="1885">
        <f ca="1"/>
        <v>404.06</v>
      </c>
      <c r="AI76" vm="1886">
        <f ca="1"/>
        <v>135.83000000000001</v>
      </c>
      <c r="AJ76" vm="1887">
        <f ca="1"/>
        <v>116.14</v>
      </c>
      <c r="AK76" vm="1888">
        <f ca="1"/>
        <v>1047.6411000000001</v>
      </c>
      <c r="AL76" t="str">
        <f ca="1"/>
        <v/>
      </c>
      <c r="AM76" vm="1889">
        <f ca="1"/>
        <v>117.78</v>
      </c>
      <c r="AN76" vm="1890">
        <f ca="1"/>
        <v>135.18</v>
      </c>
      <c r="AO76" vm="1891">
        <f ca="1"/>
        <v>423.5</v>
      </c>
    </row>
    <row r="77" spans="1:41" x14ac:dyDescent="0.4">
      <c r="A77" s="1">
        <f ca="1"/>
        <v>46067</v>
      </c>
      <c r="B77" t="str">
        <f ca="1"/>
        <v/>
      </c>
      <c r="C77" t="str">
        <f ca="1"/>
        <v/>
      </c>
      <c r="D77" t="str">
        <f ca="1"/>
        <v/>
      </c>
      <c r="E77" t="str">
        <f ca="1"/>
        <v/>
      </c>
      <c r="F77" t="str">
        <f ca="1"/>
        <v/>
      </c>
      <c r="G77" t="str">
        <f ca="1"/>
        <v/>
      </c>
      <c r="H77" t="str">
        <f ca="1"/>
        <v/>
      </c>
      <c r="I77" t="str">
        <f ca="1"/>
        <v/>
      </c>
      <c r="J77" t="str">
        <f ca="1"/>
        <v/>
      </c>
      <c r="K77" t="str">
        <f ca="1"/>
        <v/>
      </c>
      <c r="L77" t="str">
        <f ca="1"/>
        <v/>
      </c>
      <c r="M77" t="str">
        <f ca="1"/>
        <v/>
      </c>
      <c r="N77" t="str">
        <f ca="1"/>
        <v/>
      </c>
      <c r="O77" t="str">
        <f ca="1"/>
        <v/>
      </c>
      <c r="P77" t="str">
        <f ca="1"/>
        <v/>
      </c>
      <c r="Q77" t="str">
        <f ca="1"/>
        <v/>
      </c>
      <c r="R77" t="str">
        <f ca="1"/>
        <v/>
      </c>
      <c r="S77" t="str">
        <f ca="1"/>
        <v/>
      </c>
      <c r="T77" t="str">
        <f ca="1"/>
        <v/>
      </c>
      <c r="U77" t="str">
        <f ca="1"/>
        <v/>
      </c>
      <c r="V77" t="str">
        <f ca="1"/>
        <v/>
      </c>
      <c r="W77" t="str">
        <f ca="1"/>
        <v/>
      </c>
      <c r="X77" t="str">
        <f ca="1"/>
        <v/>
      </c>
      <c r="Y77" t="str">
        <f ca="1"/>
        <v/>
      </c>
      <c r="Z77" t="str">
        <f ca="1"/>
        <v/>
      </c>
      <c r="AA77" t="str">
        <f ca="1"/>
        <v/>
      </c>
      <c r="AB77" t="str">
        <f ca="1"/>
        <v/>
      </c>
      <c r="AC77" t="str">
        <f ca="1"/>
        <v/>
      </c>
      <c r="AD77" t="str">
        <f ca="1"/>
        <v/>
      </c>
      <c r="AE77" t="str">
        <f ca="1"/>
        <v/>
      </c>
      <c r="AF77" t="str">
        <f ca="1"/>
        <v/>
      </c>
      <c r="AG77" t="str">
        <f ca="1"/>
        <v/>
      </c>
      <c r="AH77" t="str">
        <f ca="1"/>
        <v/>
      </c>
      <c r="AI77" t="str">
        <f ca="1"/>
        <v/>
      </c>
      <c r="AJ77" t="str">
        <f ca="1"/>
        <v/>
      </c>
      <c r="AK77" t="str">
        <f ca="1"/>
        <v/>
      </c>
      <c r="AL77" t="str">
        <f ca="1"/>
        <v/>
      </c>
      <c r="AM77" t="str">
        <f ca="1"/>
        <v/>
      </c>
      <c r="AN77" t="str">
        <f ca="1"/>
        <v/>
      </c>
      <c r="AO77" t="str">
        <f ca="1"/>
        <v/>
      </c>
    </row>
    <row r="78" spans="1:41" x14ac:dyDescent="0.4">
      <c r="A78" s="1">
        <f ca="1"/>
        <v>46068</v>
      </c>
      <c r="B78" t="str">
        <f ca="1"/>
        <v/>
      </c>
      <c r="C78" t="str">
        <f ca="1"/>
        <v/>
      </c>
      <c r="D78" t="str">
        <f ca="1"/>
        <v/>
      </c>
      <c r="E78" t="str">
        <f ca="1"/>
        <v/>
      </c>
      <c r="F78" t="str">
        <f ca="1"/>
        <v/>
      </c>
      <c r="G78" t="str">
        <f ca="1"/>
        <v/>
      </c>
      <c r="H78" t="str">
        <f ca="1"/>
        <v/>
      </c>
      <c r="I78" t="str">
        <f ca="1"/>
        <v/>
      </c>
      <c r="J78" t="str">
        <f ca="1"/>
        <v/>
      </c>
      <c r="K78" t="str">
        <f ca="1"/>
        <v/>
      </c>
      <c r="L78" t="str">
        <f ca="1"/>
        <v/>
      </c>
      <c r="M78" t="str">
        <f ca="1"/>
        <v/>
      </c>
      <c r="N78" t="str">
        <f ca="1"/>
        <v/>
      </c>
      <c r="O78" t="str">
        <f ca="1"/>
        <v/>
      </c>
      <c r="P78" t="str">
        <f ca="1"/>
        <v/>
      </c>
      <c r="Q78" t="str">
        <f ca="1"/>
        <v/>
      </c>
      <c r="R78" t="str">
        <f ca="1"/>
        <v/>
      </c>
      <c r="S78" t="str">
        <f ca="1"/>
        <v/>
      </c>
      <c r="T78" t="str">
        <f ca="1"/>
        <v/>
      </c>
      <c r="U78" t="str">
        <f ca="1"/>
        <v/>
      </c>
      <c r="V78" t="str">
        <f ca="1"/>
        <v/>
      </c>
      <c r="W78" t="str">
        <f ca="1"/>
        <v/>
      </c>
      <c r="X78" t="str">
        <f ca="1"/>
        <v/>
      </c>
      <c r="Y78" t="str">
        <f ca="1"/>
        <v/>
      </c>
      <c r="Z78" t="str">
        <f ca="1"/>
        <v/>
      </c>
      <c r="AA78" t="str">
        <f ca="1"/>
        <v/>
      </c>
      <c r="AB78" t="str">
        <f ca="1"/>
        <v/>
      </c>
      <c r="AC78" t="str">
        <f ca="1"/>
        <v/>
      </c>
      <c r="AD78" t="str">
        <f ca="1"/>
        <v/>
      </c>
      <c r="AE78" t="str">
        <f ca="1"/>
        <v/>
      </c>
      <c r="AF78" t="str">
        <f ca="1"/>
        <v/>
      </c>
      <c r="AG78" t="str">
        <f ca="1"/>
        <v/>
      </c>
      <c r="AH78" t="str">
        <f ca="1"/>
        <v/>
      </c>
      <c r="AI78" t="str">
        <f ca="1"/>
        <v/>
      </c>
      <c r="AJ78" t="str">
        <f ca="1"/>
        <v/>
      </c>
      <c r="AK78" t="str">
        <f ca="1"/>
        <v/>
      </c>
      <c r="AL78" t="str">
        <f ca="1"/>
        <v/>
      </c>
      <c r="AM78" t="str">
        <f ca="1"/>
        <v/>
      </c>
      <c r="AN78" t="str">
        <f ca="1"/>
        <v/>
      </c>
      <c r="AO78" t="str">
        <f ca="1"/>
        <v/>
      </c>
    </row>
    <row r="79" spans="1:41" x14ac:dyDescent="0.4">
      <c r="A79" s="1">
        <f ca="1"/>
        <v>46069</v>
      </c>
      <c r="B79" vm="1892">
        <f ca="1"/>
        <v>11.366</v>
      </c>
      <c r="C79" vm="1893">
        <f ca="1"/>
        <v>112</v>
      </c>
      <c r="D79" vm="1894">
        <f ca="1"/>
        <v>177.49789999999999</v>
      </c>
      <c r="E79" vm="1895">
        <f ca="1"/>
        <v>624.05870000000004</v>
      </c>
      <c r="F79" vm="1783">
        <f ca="1"/>
        <v>22.69</v>
      </c>
      <c r="G79" vm="1896">
        <f ca="1"/>
        <v>268.90839999999997</v>
      </c>
      <c r="H79" vm="1897">
        <f ca="1"/>
        <v>672.87369999999999</v>
      </c>
      <c r="I79" vm="1898">
        <f ca="1"/>
        <v>70.73</v>
      </c>
      <c r="J79" vm="1899">
        <f ca="1"/>
        <v>120.86499999999999</v>
      </c>
      <c r="K79" vm="1900">
        <f ca="1"/>
        <v>243.73269999999999</v>
      </c>
      <c r="L79" vm="1901">
        <f ca="1"/>
        <v>915.14</v>
      </c>
      <c r="M79" vm="1902">
        <f ca="1"/>
        <v>57.24</v>
      </c>
      <c r="N79" vm="1903">
        <f ca="1"/>
        <v>24.875</v>
      </c>
      <c r="O79" t="str">
        <f ca="1"/>
        <v/>
      </c>
      <c r="P79" vm="1904">
        <f ca="1"/>
        <v>243.89959999999999</v>
      </c>
      <c r="Q79" vm="1905">
        <f ca="1"/>
        <v>2.8107000000000002</v>
      </c>
      <c r="R79" vm="1906">
        <f ca="1"/>
        <v>4.7565</v>
      </c>
      <c r="S79" t="str">
        <f ca="1"/>
        <v/>
      </c>
      <c r="T79" vm="1907">
        <f ca="1"/>
        <v>4.6227</v>
      </c>
      <c r="U79" vm="1908">
        <f ca="1"/>
        <v>255.29</v>
      </c>
      <c r="V79" vm="1909">
        <f ca="1"/>
        <v>271.39339999999999</v>
      </c>
      <c r="W79" vm="1910">
        <f ca="1"/>
        <v>160.38</v>
      </c>
      <c r="X79" t="str">
        <f ca="1"/>
        <v/>
      </c>
      <c r="Y79" vm="1911">
        <f ca="1"/>
        <v>108.7363</v>
      </c>
      <c r="Z79" t="str">
        <f ca="1"/>
        <v/>
      </c>
      <c r="AA79" vm="1912">
        <f ca="1"/>
        <v>13.324</v>
      </c>
      <c r="AB79" t="str">
        <f ca="1"/>
        <v/>
      </c>
      <c r="AC79" t="str">
        <f ca="1"/>
        <v/>
      </c>
      <c r="AD79" vm="1913">
        <f ca="1"/>
        <v>147.41</v>
      </c>
      <c r="AE79" vm="1914">
        <f ca="1"/>
        <v>124.82</v>
      </c>
      <c r="AF79" vm="1915">
        <f ca="1"/>
        <v>166.82</v>
      </c>
      <c r="AG79" vm="1916">
        <f ca="1"/>
        <v>405.06</v>
      </c>
      <c r="AH79" vm="1917">
        <f ca="1"/>
        <v>402.42</v>
      </c>
      <c r="AI79" vm="1852">
        <f ca="1"/>
        <v>135.32</v>
      </c>
      <c r="AJ79" vm="1918">
        <f ca="1"/>
        <v>116.08</v>
      </c>
      <c r="AK79" vm="1919">
        <f ca="1"/>
        <v>1047.9974</v>
      </c>
      <c r="AL79" t="str">
        <f ca="1"/>
        <v/>
      </c>
      <c r="AM79" vm="1920">
        <f ca="1"/>
        <v>118.3</v>
      </c>
      <c r="AN79" vm="1921">
        <f ca="1"/>
        <v>135.56</v>
      </c>
      <c r="AO79" vm="1922">
        <f ca="1"/>
        <v>427</v>
      </c>
    </row>
    <row r="80" spans="1:41" x14ac:dyDescent="0.4">
      <c r="A80" s="1">
        <f ca="1"/>
        <v>46070</v>
      </c>
      <c r="B80" vm="1923">
        <f ca="1"/>
        <v>11.385999999999999</v>
      </c>
      <c r="C80" vm="1924">
        <f ca="1"/>
        <v>112.33499999999999</v>
      </c>
      <c r="D80" vm="1925">
        <f ca="1"/>
        <v>177.96100000000001</v>
      </c>
      <c r="E80" vm="1926">
        <f ca="1"/>
        <v>625.79510000000005</v>
      </c>
      <c r="F80" vm="1927">
        <f ca="1"/>
        <v>22.57</v>
      </c>
      <c r="G80" vm="1928">
        <f ca="1"/>
        <v>269.78219999999999</v>
      </c>
      <c r="H80" vm="1929">
        <f ca="1"/>
        <v>670.65639999999996</v>
      </c>
      <c r="I80" vm="1930">
        <f ca="1"/>
        <v>71.099999999999994</v>
      </c>
      <c r="J80" vm="1931">
        <f ca="1"/>
        <v>119.30629999999999</v>
      </c>
      <c r="K80" vm="1932">
        <f ca="1"/>
        <v>244.6482</v>
      </c>
      <c r="L80" vm="1933">
        <f ca="1"/>
        <v>918.76</v>
      </c>
      <c r="M80" vm="1934">
        <f ca="1"/>
        <v>57.57</v>
      </c>
      <c r="N80" vm="1935">
        <f ca="1"/>
        <v>24.8</v>
      </c>
      <c r="O80" t="str">
        <f ca="1"/>
        <v/>
      </c>
      <c r="P80" vm="1936">
        <f ca="1"/>
        <v>245.50880000000001</v>
      </c>
      <c r="Q80" vm="1937">
        <f ca="1"/>
        <v>2.8168000000000002</v>
      </c>
      <c r="R80" vm="1938">
        <f ca="1"/>
        <v>4.7554999999999996</v>
      </c>
      <c r="S80" vm="1939">
        <f ca="1"/>
        <v>89.87</v>
      </c>
      <c r="T80" vm="1940">
        <f ca="1"/>
        <v>4.6532</v>
      </c>
      <c r="U80" vm="1941">
        <f ca="1"/>
        <v>256.79000000000002</v>
      </c>
      <c r="V80" vm="1942">
        <f ca="1"/>
        <v>271.66840000000002</v>
      </c>
      <c r="W80" vm="1943">
        <f ca="1"/>
        <v>160.44</v>
      </c>
      <c r="X80" vm="1944">
        <f ca="1"/>
        <v>300.48559999999998</v>
      </c>
      <c r="Y80" vm="1945">
        <f ca="1"/>
        <v>108.7008</v>
      </c>
      <c r="Z80" vm="1946">
        <f ca="1"/>
        <v>213.959</v>
      </c>
      <c r="AA80" vm="1947">
        <f ca="1"/>
        <v>13.202</v>
      </c>
      <c r="AB80" vm="1948">
        <f ca="1"/>
        <v>14.03</v>
      </c>
      <c r="AC80" vm="1949">
        <f ca="1"/>
        <v>23.59</v>
      </c>
      <c r="AD80" vm="1950">
        <f ca="1"/>
        <v>147.46</v>
      </c>
      <c r="AE80" vm="1951">
        <f ca="1"/>
        <v>125.04</v>
      </c>
      <c r="AF80" vm="1952">
        <f ca="1"/>
        <v>163.47999999999999</v>
      </c>
      <c r="AG80" vm="1953">
        <f ca="1"/>
        <v>396.94</v>
      </c>
      <c r="AH80" vm="1954">
        <f ca="1"/>
        <v>394.34</v>
      </c>
      <c r="AI80" vm="1955">
        <f ca="1"/>
        <v>132.54</v>
      </c>
      <c r="AJ80" vm="1956">
        <f ca="1"/>
        <v>115.78</v>
      </c>
      <c r="AK80" vm="1957">
        <f ca="1"/>
        <v>1047.3680999999999</v>
      </c>
      <c r="AL80" t="str">
        <f ca="1"/>
        <v/>
      </c>
      <c r="AM80" vm="1958">
        <f ca="1"/>
        <v>118.86</v>
      </c>
      <c r="AN80" vm="1959">
        <f ca="1"/>
        <v>136.02000000000001</v>
      </c>
      <c r="AO80" vm="1960">
        <f ca="1"/>
        <v>427.5</v>
      </c>
    </row>
    <row r="81" spans="1:41" x14ac:dyDescent="0.4">
      <c r="A81" s="1">
        <f ca="1"/>
        <v>46071</v>
      </c>
      <c r="B81" vm="1012">
        <f ca="1"/>
        <v>11.516</v>
      </c>
      <c r="C81" vm="1961">
        <f ca="1"/>
        <v>113.545</v>
      </c>
      <c r="D81" vm="1962">
        <f ca="1"/>
        <v>179.49100000000001</v>
      </c>
      <c r="E81" vm="1963">
        <f ca="1"/>
        <v>630.94119999999998</v>
      </c>
      <c r="F81" vm="1964">
        <f ca="1"/>
        <v>22.91</v>
      </c>
      <c r="G81" vm="1965">
        <f ca="1"/>
        <v>270.27370000000002</v>
      </c>
      <c r="H81" vm="1966">
        <f ca="1"/>
        <v>678.98230000000001</v>
      </c>
      <c r="I81" vm="985">
        <f ca="1"/>
        <v>72.42</v>
      </c>
      <c r="J81" vm="1967">
        <f ca="1"/>
        <v>120.539</v>
      </c>
      <c r="K81" vm="1968">
        <f ca="1"/>
        <v>246.00120000000001</v>
      </c>
      <c r="L81" vm="1969">
        <f ca="1"/>
        <v>927.34</v>
      </c>
      <c r="M81" vm="1970">
        <f ca="1"/>
        <v>58.14</v>
      </c>
      <c r="N81" vm="1971">
        <f ca="1"/>
        <v>25.225000000000001</v>
      </c>
      <c r="O81" t="str">
        <f ca="1"/>
        <v/>
      </c>
      <c r="P81" vm="1972">
        <f ca="1"/>
        <v>245.4674</v>
      </c>
      <c r="Q81" vm="1973">
        <f ca="1"/>
        <v>2.8159000000000001</v>
      </c>
      <c r="R81" vm="1974">
        <f ca="1"/>
        <v>4.7504999999999997</v>
      </c>
      <c r="S81" vm="1975">
        <f ca="1"/>
        <v>89.53</v>
      </c>
      <c r="T81" vm="1976">
        <f ca="1"/>
        <v>4.6631999999999998</v>
      </c>
      <c r="U81" vm="1977">
        <f ca="1"/>
        <v>257.29000000000002</v>
      </c>
      <c r="V81" vm="1978">
        <f ca="1"/>
        <v>271.82220000000001</v>
      </c>
      <c r="W81" vm="1979">
        <f ca="1"/>
        <v>160.47</v>
      </c>
      <c r="X81" vm="1980">
        <f ca="1"/>
        <v>300.97579999999999</v>
      </c>
      <c r="Y81" vm="1981">
        <f ca="1"/>
        <v>108.6743</v>
      </c>
      <c r="Z81" vm="1982">
        <f ca="1"/>
        <v>214.184</v>
      </c>
      <c r="AA81" vm="1983">
        <f ca="1"/>
        <v>13.464</v>
      </c>
      <c r="AB81" vm="1984">
        <f ca="1"/>
        <v>14.41</v>
      </c>
      <c r="AC81" vm="1985">
        <f ca="1"/>
        <v>24.21</v>
      </c>
      <c r="AD81" vm="1986">
        <f ca="1"/>
        <v>147.43</v>
      </c>
      <c r="AE81" vm="1987">
        <f ca="1"/>
        <v>124.56</v>
      </c>
      <c r="AF81" vm="1988">
        <f ca="1"/>
        <v>167.84</v>
      </c>
      <c r="AG81" vm="1989">
        <f ca="1"/>
        <v>407.58</v>
      </c>
      <c r="AH81" vm="1990">
        <f ca="1"/>
        <v>404.92</v>
      </c>
      <c r="AI81" vm="1991">
        <f ca="1"/>
        <v>136.09</v>
      </c>
      <c r="AJ81" vm="1992">
        <f ca="1"/>
        <v>115.45</v>
      </c>
      <c r="AK81" vm="1993">
        <f ca="1"/>
        <v>1049.5281</v>
      </c>
      <c r="AL81" t="str">
        <f ca="1"/>
        <v/>
      </c>
      <c r="AM81" vm="1994">
        <f ca="1"/>
        <v>118.72</v>
      </c>
      <c r="AN81" vm="1995">
        <f ca="1"/>
        <v>135.78</v>
      </c>
      <c r="AO81" vm="1996">
        <f ca="1"/>
        <v>428.5</v>
      </c>
    </row>
    <row r="82" spans="1:41" x14ac:dyDescent="0.4">
      <c r="A82" s="1">
        <f ca="1"/>
        <v>46072</v>
      </c>
      <c r="B82" vm="1779">
        <f ca="1"/>
        <v>11.492000000000001</v>
      </c>
      <c r="C82" vm="1997">
        <f ca="1"/>
        <v>113.35</v>
      </c>
      <c r="D82" vm="1998">
        <f ca="1"/>
        <v>179.39519999999999</v>
      </c>
      <c r="E82" vm="1999">
        <f ca="1"/>
        <v>629.66719999999998</v>
      </c>
      <c r="F82" vm="2000">
        <f ca="1"/>
        <v>22.805</v>
      </c>
      <c r="G82" vm="2001">
        <f ca="1"/>
        <v>270.4502</v>
      </c>
      <c r="H82" vm="2002">
        <f ca="1"/>
        <v>676.84450000000004</v>
      </c>
      <c r="I82" vm="2003">
        <f ca="1"/>
        <v>72.099999999999994</v>
      </c>
      <c r="J82" vm="2004">
        <f ca="1"/>
        <v>121.8719</v>
      </c>
      <c r="K82" vm="2005">
        <f ca="1"/>
        <v>247.33330000000001</v>
      </c>
      <c r="L82" vm="2006">
        <f ca="1"/>
        <v>928.76</v>
      </c>
      <c r="M82" vm="2007">
        <f ca="1"/>
        <v>57.94</v>
      </c>
      <c r="N82" vm="2008">
        <f ca="1"/>
        <v>25.015000000000001</v>
      </c>
      <c r="O82" t="str">
        <f ca="1"/>
        <v/>
      </c>
      <c r="P82" vm="2009">
        <f ca="1"/>
        <v>248.04220000000001</v>
      </c>
      <c r="Q82" vm="2010">
        <f ca="1"/>
        <v>2.819</v>
      </c>
      <c r="R82" vm="2011">
        <f ca="1"/>
        <v>4.7365000000000004</v>
      </c>
      <c r="S82" vm="2012">
        <f ca="1"/>
        <v>89.62</v>
      </c>
      <c r="T82" vm="2013">
        <f ca="1"/>
        <v>4.6612</v>
      </c>
      <c r="U82" vm="2014">
        <f ca="1"/>
        <v>257.02</v>
      </c>
      <c r="V82" vm="2015">
        <f ca="1"/>
        <v>270.90129999999999</v>
      </c>
      <c r="W82" vm="2016">
        <f ca="1"/>
        <v>160.27000000000001</v>
      </c>
      <c r="X82" vm="2017">
        <f ca="1"/>
        <v>299.96210000000002</v>
      </c>
      <c r="Y82" vm="2018">
        <f ca="1"/>
        <v>108.667</v>
      </c>
      <c r="Z82" vm="2019">
        <f ca="1"/>
        <v>214.215</v>
      </c>
      <c r="AA82" vm="2020">
        <f ca="1"/>
        <v>13.63</v>
      </c>
      <c r="AB82" vm="2021">
        <f ca="1"/>
        <v>14.53</v>
      </c>
      <c r="AC82" vm="1506">
        <f ca="1"/>
        <v>24.43</v>
      </c>
      <c r="AD82" vm="1844">
        <f ca="1"/>
        <v>147.15</v>
      </c>
      <c r="AE82" vm="2022">
        <f ca="1"/>
        <v>124.73</v>
      </c>
      <c r="AF82" vm="2023">
        <f ca="1"/>
        <v>168.48</v>
      </c>
      <c r="AG82" vm="2024">
        <f ca="1"/>
        <v>409.04</v>
      </c>
      <c r="AH82" vm="2025">
        <f ca="1"/>
        <v>406.34</v>
      </c>
      <c r="AI82" vm="1399">
        <f ca="1"/>
        <v>136.63999999999999</v>
      </c>
      <c r="AJ82" vm="2026">
        <f ca="1"/>
        <v>115.71</v>
      </c>
      <c r="AK82" vm="2027">
        <f ca="1"/>
        <v>1046.7369000000001</v>
      </c>
      <c r="AL82" t="str">
        <f ca="1"/>
        <v/>
      </c>
      <c r="AM82" vm="2028">
        <f ca="1"/>
        <v>117.82</v>
      </c>
      <c r="AN82" vm="2029">
        <f ca="1"/>
        <v>135.4</v>
      </c>
      <c r="AO82" vm="2030">
        <f ca="1"/>
        <v>425.5</v>
      </c>
    </row>
    <row r="83" spans="1:41" x14ac:dyDescent="0.4">
      <c r="A83" s="1">
        <f ca="1"/>
        <v>46073</v>
      </c>
      <c r="B83" vm="2031">
        <f ca="1"/>
        <v>11.548</v>
      </c>
      <c r="C83" vm="2032">
        <f ca="1"/>
        <v>113.76</v>
      </c>
      <c r="D83" vm="2033">
        <f ca="1"/>
        <v>180.7647</v>
      </c>
      <c r="E83" vm="2034">
        <f ca="1"/>
        <v>635.33079999999995</v>
      </c>
      <c r="F83" vm="2035">
        <f ca="1"/>
        <v>22.8</v>
      </c>
      <c r="G83" vm="2036">
        <f ca="1"/>
        <v>272.11489999999998</v>
      </c>
      <c r="H83" vm="2037">
        <f ca="1"/>
        <v>682.2473</v>
      </c>
      <c r="I83" vm="2038">
        <f ca="1"/>
        <v>72.62</v>
      </c>
      <c r="J83" vm="2039">
        <f ca="1"/>
        <v>122.62439999999999</v>
      </c>
      <c r="K83" vm="2040">
        <f ca="1"/>
        <v>249.91759999999999</v>
      </c>
      <c r="L83" vm="2041">
        <f ca="1"/>
        <v>936.22</v>
      </c>
      <c r="M83" vm="2042">
        <f ca="1"/>
        <v>58.08</v>
      </c>
      <c r="N83" vm="2043">
        <f ca="1"/>
        <v>25.5</v>
      </c>
      <c r="O83" t="str">
        <f ca="1"/>
        <v/>
      </c>
      <c r="P83" vm="2044">
        <f ca="1"/>
        <v>248.04050000000001</v>
      </c>
      <c r="Q83" vm="2045">
        <f ca="1"/>
        <v>2.8096999999999999</v>
      </c>
      <c r="R83" vm="2046">
        <f ca="1"/>
        <v>4.7270000000000003</v>
      </c>
      <c r="S83" vm="2047">
        <f ca="1"/>
        <v>89.41</v>
      </c>
      <c r="T83" vm="2048">
        <f ca="1"/>
        <v>4.6767000000000003</v>
      </c>
      <c r="U83" vm="2049">
        <f ca="1"/>
        <v>258.18</v>
      </c>
      <c r="V83" vm="2050">
        <f ca="1"/>
        <v>270.29469999999998</v>
      </c>
      <c r="W83" vm="2051">
        <f ca="1"/>
        <v>160.16</v>
      </c>
      <c r="X83" vm="2052">
        <f ca="1"/>
        <v>299.404</v>
      </c>
      <c r="Y83" vm="2053">
        <f ca="1"/>
        <v>108.6784</v>
      </c>
      <c r="Z83" vm="2054">
        <f ca="1"/>
        <v>214.29499999999999</v>
      </c>
      <c r="AA83" vm="2055">
        <f ca="1"/>
        <v>13.704000000000001</v>
      </c>
      <c r="AB83" vm="2056">
        <f ca="1"/>
        <v>14.64</v>
      </c>
      <c r="AC83" vm="2057">
        <f ca="1"/>
        <v>24.6</v>
      </c>
      <c r="AD83" vm="2058">
        <f ca="1"/>
        <v>147.03</v>
      </c>
      <c r="AE83" vm="2059">
        <f ca="1"/>
        <v>124.85</v>
      </c>
      <c r="AF83" vm="2060">
        <f ca="1"/>
        <v>170.54</v>
      </c>
      <c r="AG83" vm="2061">
        <f ca="1"/>
        <v>414.16</v>
      </c>
      <c r="AH83" vm="2062">
        <f ca="1"/>
        <v>411.6</v>
      </c>
      <c r="AI83" vm="2063">
        <f ca="1"/>
        <v>138.38</v>
      </c>
      <c r="AJ83" vm="2064">
        <f ca="1"/>
        <v>115.55</v>
      </c>
      <c r="AK83" vm="2065">
        <f ca="1"/>
        <v>1049.1815999999999</v>
      </c>
      <c r="AL83" t="str">
        <f ca="1"/>
        <v/>
      </c>
      <c r="AM83" vm="451">
        <f ca="1"/>
        <v>117.38</v>
      </c>
      <c r="AN83" vm="2066">
        <f ca="1"/>
        <v>135.34</v>
      </c>
      <c r="AO83" vm="2067">
        <f ca="1"/>
        <v>426</v>
      </c>
    </row>
    <row r="84" spans="1:41" x14ac:dyDescent="0.4">
      <c r="A84" s="1">
        <f ca="1"/>
        <v>46074</v>
      </c>
      <c r="B84" t="str">
        <f ca="1"/>
        <v/>
      </c>
      <c r="C84" t="str">
        <f ca="1"/>
        <v/>
      </c>
      <c r="D84" t="str">
        <f ca="1"/>
        <v/>
      </c>
      <c r="E84" t="str">
        <f ca="1"/>
        <v/>
      </c>
      <c r="F84" t="str">
        <f ca="1"/>
        <v/>
      </c>
      <c r="G84" t="str">
        <f ca="1"/>
        <v/>
      </c>
      <c r="H84" t="str">
        <f ca="1"/>
        <v/>
      </c>
      <c r="I84" t="str">
        <f ca="1"/>
        <v/>
      </c>
      <c r="J84" t="str">
        <f ca="1"/>
        <v/>
      </c>
      <c r="K84" t="str">
        <f ca="1"/>
        <v/>
      </c>
      <c r="L84" t="str">
        <f ca="1"/>
        <v/>
      </c>
      <c r="M84" t="str">
        <f ca="1"/>
        <v/>
      </c>
      <c r="N84" t="str">
        <f ca="1"/>
        <v/>
      </c>
      <c r="O84" t="str">
        <f ca="1"/>
        <v/>
      </c>
      <c r="P84" t="str">
        <f ca="1"/>
        <v/>
      </c>
      <c r="Q84" t="str">
        <f ca="1"/>
        <v/>
      </c>
      <c r="R84" t="str">
        <f ca="1"/>
        <v/>
      </c>
      <c r="S84" t="str">
        <f ca="1"/>
        <v/>
      </c>
      <c r="T84" t="str">
        <f ca="1"/>
        <v/>
      </c>
      <c r="U84" t="str">
        <f ca="1"/>
        <v/>
      </c>
      <c r="V84" t="str">
        <f ca="1"/>
        <v/>
      </c>
      <c r="W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c r="AL84" t="str">
        <f ca="1"/>
        <v/>
      </c>
      <c r="AM84" t="str">
        <f ca="1"/>
        <v/>
      </c>
      <c r="AN84" t="str">
        <f ca="1"/>
        <v/>
      </c>
      <c r="AO84" t="str">
        <f ca="1"/>
        <v/>
      </c>
    </row>
    <row r="85" spans="1:41" x14ac:dyDescent="0.4">
      <c r="A85" s="1">
        <f ca="1"/>
        <v>46075</v>
      </c>
      <c r="B85" t="str">
        <f ca="1"/>
        <v/>
      </c>
      <c r="C85" t="str">
        <f ca="1"/>
        <v/>
      </c>
      <c r="D85" t="str">
        <f ca="1"/>
        <v/>
      </c>
      <c r="E85" t="str">
        <f ca="1"/>
        <v/>
      </c>
      <c r="F85" t="str">
        <f ca="1"/>
        <v/>
      </c>
      <c r="G85" t="str">
        <f ca="1"/>
        <v/>
      </c>
      <c r="H85" t="str">
        <f ca="1"/>
        <v/>
      </c>
      <c r="I85" t="str">
        <f ca="1"/>
        <v/>
      </c>
      <c r="J85" t="str">
        <f ca="1"/>
        <v/>
      </c>
      <c r="K85" t="str">
        <f ca="1"/>
        <v/>
      </c>
      <c r="L85" t="str">
        <f ca="1"/>
        <v/>
      </c>
      <c r="M85" t="str">
        <f ca="1"/>
        <v/>
      </c>
      <c r="N85" t="str">
        <f ca="1"/>
        <v/>
      </c>
      <c r="O85" t="str">
        <f ca="1"/>
        <v/>
      </c>
      <c r="P85" t="str">
        <f ca="1"/>
        <v/>
      </c>
      <c r="Q85" t="str">
        <f ca="1"/>
        <v/>
      </c>
      <c r="R85" t="str">
        <f ca="1"/>
        <v/>
      </c>
      <c r="S85" t="str">
        <f ca="1"/>
        <v/>
      </c>
      <c r="T85" t="str">
        <f ca="1"/>
        <v/>
      </c>
      <c r="U85" t="str">
        <f ca="1"/>
        <v/>
      </c>
      <c r="V85" t="str">
        <f ca="1"/>
        <v/>
      </c>
      <c r="W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c r="AL85" t="str">
        <f ca="1"/>
        <v/>
      </c>
      <c r="AM85" t="str">
        <f ca="1"/>
        <v/>
      </c>
      <c r="AN85" t="str">
        <f ca="1"/>
        <v/>
      </c>
      <c r="AO85" t="str">
        <f ca="1"/>
        <v/>
      </c>
    </row>
    <row r="86" spans="1:41" x14ac:dyDescent="0.4">
      <c r="A86" s="1">
        <f ca="1"/>
        <v>46076</v>
      </c>
      <c r="B86" vm="2068">
        <f ca="1"/>
        <v>11.456</v>
      </c>
      <c r="C86" vm="2069">
        <f ca="1"/>
        <v>112.925</v>
      </c>
      <c r="D86" vm="2070">
        <f ca="1"/>
        <v>179.43870000000001</v>
      </c>
      <c r="E86" vm="2071">
        <f ca="1"/>
        <v>632.32050000000004</v>
      </c>
      <c r="F86" vm="2072">
        <f ca="1"/>
        <v>22.555</v>
      </c>
      <c r="G86" vm="2073">
        <f ca="1"/>
        <v>270.80290000000002</v>
      </c>
      <c r="H86" vm="2074">
        <f ca="1"/>
        <v>684.34690000000001</v>
      </c>
      <c r="I86" vm="2075">
        <f ca="1"/>
        <v>71.75</v>
      </c>
      <c r="J86" vm="2076">
        <f ca="1"/>
        <v>120.4186</v>
      </c>
      <c r="K86" vm="2077">
        <f ca="1"/>
        <v>248.71469999999999</v>
      </c>
      <c r="L86" vm="2078">
        <f ca="1"/>
        <v>931.76</v>
      </c>
      <c r="M86" vm="2079">
        <f ca="1"/>
        <v>57.85</v>
      </c>
      <c r="N86" vm="2080">
        <f ca="1"/>
        <v>25.445</v>
      </c>
      <c r="O86" vm="2081">
        <f ca="1"/>
        <v>168.21</v>
      </c>
      <c r="P86" vm="2082">
        <f ca="1"/>
        <v>251.01060000000001</v>
      </c>
      <c r="Q86" vm="2083">
        <f ca="1"/>
        <v>2.8249</v>
      </c>
      <c r="R86" vm="1906">
        <f ca="1"/>
        <v>4.7565</v>
      </c>
      <c r="S86" vm="2084">
        <f ca="1"/>
        <v>89.74</v>
      </c>
      <c r="T86" vm="2085">
        <f ca="1"/>
        <v>4.6863999999999999</v>
      </c>
      <c r="U86" vm="2086">
        <f ca="1"/>
        <v>258.69</v>
      </c>
      <c r="V86" vm="2087">
        <f ca="1"/>
        <v>270.60809999999998</v>
      </c>
      <c r="W86" vm="2088">
        <f ca="1"/>
        <v>160.22</v>
      </c>
      <c r="X86" vm="2089">
        <f ca="1"/>
        <v>299.79629999999997</v>
      </c>
      <c r="Y86" vm="2090">
        <f ca="1"/>
        <v>108.8511</v>
      </c>
      <c r="Z86" vm="2091">
        <f ca="1"/>
        <v>214.28800000000001</v>
      </c>
      <c r="AA86" vm="2092">
        <f ca="1"/>
        <v>13.756</v>
      </c>
      <c r="AB86" vm="2093">
        <f ca="1"/>
        <v>14.71</v>
      </c>
      <c r="AC86" vm="2094">
        <f ca="1"/>
        <v>24.75</v>
      </c>
      <c r="AD86" vm="2095">
        <f ca="1"/>
        <v>147.09</v>
      </c>
      <c r="AE86" vm="2096">
        <f ca="1"/>
        <v>124.84</v>
      </c>
      <c r="AF86" vm="2097">
        <f ca="1"/>
        <v>175.15</v>
      </c>
      <c r="AG86" vm="2098">
        <f ca="1"/>
        <v>425.14</v>
      </c>
      <c r="AH86" vm="2099">
        <f ca="1"/>
        <v>422.36</v>
      </c>
      <c r="AI86" vm="2100">
        <f ca="1"/>
        <v>141.99</v>
      </c>
      <c r="AJ86" vm="2101">
        <f ca="1"/>
        <v>116.07</v>
      </c>
      <c r="AK86" vm="2102">
        <f ca="1"/>
        <v>1049.2230999999999</v>
      </c>
      <c r="AL86" t="str">
        <f ca="1"/>
        <v/>
      </c>
      <c r="AM86" vm="2103">
        <f ca="1"/>
        <v>117.22</v>
      </c>
      <c r="AN86" vm="2104">
        <f ca="1"/>
        <v>135.08000000000001</v>
      </c>
      <c r="AO86" vm="1922">
        <f ca="1"/>
        <v>427</v>
      </c>
    </row>
    <row r="87" spans="1:41" x14ac:dyDescent="0.4">
      <c r="A87" s="1">
        <f ca="1"/>
        <v>46077</v>
      </c>
      <c r="B87" vm="2105">
        <f ca="1"/>
        <v>11.534000000000001</v>
      </c>
      <c r="C87" vm="2106">
        <f ca="1"/>
        <v>113.425</v>
      </c>
      <c r="D87" vm="2107">
        <f ca="1"/>
        <v>180.78440000000001</v>
      </c>
      <c r="E87" vm="2108">
        <f ca="1"/>
        <v>637.38329999999996</v>
      </c>
      <c r="F87" vm="2109">
        <f ca="1"/>
        <v>22.68</v>
      </c>
      <c r="G87" vm="2110">
        <f ca="1"/>
        <v>271.69310000000002</v>
      </c>
      <c r="H87" vm="2111">
        <f ca="1"/>
        <v>684.30769999999995</v>
      </c>
      <c r="I87" vm="2112">
        <f ca="1"/>
        <v>71.88</v>
      </c>
      <c r="J87" vm="2113">
        <f ca="1"/>
        <v>121.0575</v>
      </c>
      <c r="K87" vm="2114">
        <f ca="1"/>
        <v>251.14340000000001</v>
      </c>
      <c r="L87" vm="2115">
        <f ca="1"/>
        <v>941.34</v>
      </c>
      <c r="M87" vm="2007">
        <f ca="1"/>
        <v>57.94</v>
      </c>
      <c r="N87" vm="2116">
        <f ca="1"/>
        <v>25.815000000000001</v>
      </c>
      <c r="O87" vm="2117">
        <f ca="1"/>
        <v>169.23</v>
      </c>
      <c r="P87" vm="2118">
        <f ca="1"/>
        <v>252.5899</v>
      </c>
      <c r="Q87" vm="2119">
        <f ca="1"/>
        <v>2.8288000000000002</v>
      </c>
      <c r="R87" vm="2120">
        <f ca="1"/>
        <v>4.7610000000000001</v>
      </c>
      <c r="S87" vm="2121">
        <f ca="1"/>
        <v>89.9</v>
      </c>
      <c r="T87" vm="2122">
        <f ca="1"/>
        <v>4.6943999999999999</v>
      </c>
      <c r="U87" vm="2123">
        <f ca="1"/>
        <v>259.41000000000003</v>
      </c>
      <c r="V87" vm="2124">
        <f ca="1"/>
        <v>271.17689999999999</v>
      </c>
      <c r="W87" vm="1910">
        <f ca="1"/>
        <v>160.38</v>
      </c>
      <c r="X87" vm="2125">
        <f ca="1"/>
        <v>300.03210000000001</v>
      </c>
      <c r="Y87" vm="2126">
        <f ca="1"/>
        <v>108.7851</v>
      </c>
      <c r="Z87" vm="2127">
        <f ca="1"/>
        <v>214.23400000000001</v>
      </c>
      <c r="AA87" vm="2128">
        <f ca="1"/>
        <v>13.754</v>
      </c>
      <c r="AB87" vm="2129">
        <f ca="1"/>
        <v>14.7</v>
      </c>
      <c r="AC87" vm="2130">
        <f ca="1"/>
        <v>24.72</v>
      </c>
      <c r="AD87" vm="2131">
        <f ca="1"/>
        <v>147.21</v>
      </c>
      <c r="AE87" vm="2132">
        <f ca="1"/>
        <v>124.98</v>
      </c>
      <c r="AF87" vm="2133">
        <f ca="1"/>
        <v>172.88</v>
      </c>
      <c r="AG87" vm="2134">
        <f ca="1"/>
        <v>419.8</v>
      </c>
      <c r="AH87" vm="2135">
        <f ca="1"/>
        <v>417.06</v>
      </c>
      <c r="AI87" vm="2136">
        <f ca="1"/>
        <v>140.25</v>
      </c>
      <c r="AJ87" vm="2137">
        <f ca="1"/>
        <v>115.64</v>
      </c>
      <c r="AK87" vm="2138">
        <f ca="1"/>
        <v>1051.9223</v>
      </c>
      <c r="AL87" t="str">
        <f ca="1"/>
        <v/>
      </c>
      <c r="AM87" vm="2139">
        <f ca="1"/>
        <v>118.48</v>
      </c>
      <c r="AN87" vm="2140">
        <f ca="1"/>
        <v>135.96</v>
      </c>
      <c r="AO87" vm="1704">
        <f ca="1"/>
        <v>430</v>
      </c>
    </row>
    <row r="88" spans="1:41" x14ac:dyDescent="0.4">
      <c r="A88" s="1">
        <f ca="1"/>
        <v>46078</v>
      </c>
      <c r="B88" vm="2141">
        <f ca="1"/>
        <v>11.622</v>
      </c>
      <c r="C88" vm="2142">
        <f ca="1"/>
        <v>114.27</v>
      </c>
      <c r="D88" vm="2143">
        <f ca="1"/>
        <v>181.06450000000001</v>
      </c>
      <c r="E88" vm="2144">
        <f ca="1"/>
        <v>638.18150000000003</v>
      </c>
      <c r="F88" vm="2145">
        <f ca="1"/>
        <v>22.76</v>
      </c>
      <c r="G88" vm="2146">
        <f ca="1"/>
        <v>272.7783</v>
      </c>
      <c r="H88" vm="2147">
        <f ca="1"/>
        <v>688.02549999999997</v>
      </c>
      <c r="I88" vm="2148">
        <f ca="1"/>
        <v>73.05</v>
      </c>
      <c r="J88" vm="2149">
        <f ca="1"/>
        <v>120.8664</v>
      </c>
      <c r="K88" vm="2150">
        <f ca="1"/>
        <v>251.72389999999999</v>
      </c>
      <c r="L88" vm="2151">
        <f ca="1"/>
        <v>942.94</v>
      </c>
      <c r="M88" vm="2152">
        <f ca="1"/>
        <v>58.36</v>
      </c>
      <c r="N88" vm="2153">
        <f ca="1"/>
        <v>25.96</v>
      </c>
      <c r="O88" vm="2154">
        <f ca="1"/>
        <v>171.15</v>
      </c>
      <c r="P88" vm="2155">
        <f ca="1"/>
        <v>255.1069</v>
      </c>
      <c r="Q88" vm="2156">
        <f ca="1"/>
        <v>2.8245</v>
      </c>
      <c r="R88" vm="2157">
        <f ca="1"/>
        <v>4.7619999999999996</v>
      </c>
      <c r="S88" vm="2158">
        <f ca="1"/>
        <v>89.91</v>
      </c>
      <c r="T88" vm="2159">
        <f ca="1"/>
        <v>4.6985999999999999</v>
      </c>
      <c r="U88" vm="2160">
        <f ca="1"/>
        <v>259.68</v>
      </c>
      <c r="V88" vm="2161">
        <f ca="1"/>
        <v>271.05410000000001</v>
      </c>
      <c r="W88" vm="2162">
        <f ca="1"/>
        <v>160.41999999999999</v>
      </c>
      <c r="X88" vm="2163">
        <f ca="1"/>
        <v>300.09539999999998</v>
      </c>
      <c r="Y88" vm="2164">
        <f ca="1"/>
        <v>108.75660000000001</v>
      </c>
      <c r="Z88" vm="2165">
        <f ca="1"/>
        <v>214.333</v>
      </c>
      <c r="AA88" vm="2166">
        <f ca="1"/>
        <v>13.766</v>
      </c>
      <c r="AB88" vm="2093">
        <f ca="1"/>
        <v>14.71</v>
      </c>
      <c r="AC88" vm="2094">
        <f ca="1"/>
        <v>24.75</v>
      </c>
      <c r="AD88" vm="2167">
        <f ca="1"/>
        <v>147.26</v>
      </c>
      <c r="AE88" vm="2168">
        <f ca="1"/>
        <v>125.13</v>
      </c>
      <c r="AF88" vm="2169">
        <f ca="1"/>
        <v>174.8</v>
      </c>
      <c r="AG88" vm="2170">
        <f ca="1"/>
        <v>424.5</v>
      </c>
      <c r="AH88" vm="2171">
        <f ca="1"/>
        <v>421.82</v>
      </c>
      <c r="AI88" vm="2172">
        <f ca="1"/>
        <v>141.79</v>
      </c>
      <c r="AJ88" vm="2173">
        <f ca="1"/>
        <v>115.06</v>
      </c>
      <c r="AK88" vm="2174">
        <f ca="1"/>
        <v>1061.1976</v>
      </c>
      <c r="AL88" t="str">
        <f ca="1"/>
        <v/>
      </c>
      <c r="AM88" vm="2175">
        <f ca="1"/>
        <v>118.5</v>
      </c>
      <c r="AN88" vm="2176">
        <f ca="1"/>
        <v>136.04</v>
      </c>
      <c r="AO88" vm="2177">
        <f ca="1"/>
        <v>432.5</v>
      </c>
    </row>
    <row r="89" spans="1:41" x14ac:dyDescent="0.4">
      <c r="A89" s="1">
        <f ca="1"/>
        <v>46079</v>
      </c>
      <c r="B89" vm="2178">
        <f ca="1"/>
        <v>11.582000000000001</v>
      </c>
      <c r="C89" vm="2179">
        <f ca="1"/>
        <v>114.035</v>
      </c>
      <c r="D89" vm="2180">
        <f ca="1"/>
        <v>182.0378</v>
      </c>
      <c r="E89" vm="2181">
        <f ca="1"/>
        <v>640.75139999999999</v>
      </c>
      <c r="F89" vm="2182">
        <f ca="1"/>
        <v>22.85</v>
      </c>
      <c r="G89" vm="2183">
        <f ca="1"/>
        <v>273.53289999999998</v>
      </c>
      <c r="H89" vm="2184">
        <f ca="1"/>
        <v>687.04430000000002</v>
      </c>
      <c r="I89" vm="2185">
        <f ca="1"/>
        <v>72.599999999999994</v>
      </c>
      <c r="J89" vm="2186">
        <f ca="1"/>
        <v>121.88379999999999</v>
      </c>
      <c r="K89" vm="2187">
        <f ca="1"/>
        <v>254.2208</v>
      </c>
      <c r="L89" vm="2188">
        <f ca="1"/>
        <v>951.86</v>
      </c>
      <c r="M89" vm="2189">
        <f ca="1"/>
        <v>58.16</v>
      </c>
      <c r="N89" vm="2190">
        <f ca="1"/>
        <v>25.805</v>
      </c>
      <c r="O89" vm="2191">
        <f ca="1"/>
        <v>170.33</v>
      </c>
      <c r="P89" vm="2192">
        <f ca="1"/>
        <v>256.67689999999999</v>
      </c>
      <c r="Q89" vm="2193">
        <f ca="1"/>
        <v>2.8334000000000001</v>
      </c>
      <c r="R89" vm="2194">
        <f ca="1"/>
        <v>4.7705000000000002</v>
      </c>
      <c r="S89" vm="2195">
        <f ca="1"/>
        <v>90.27</v>
      </c>
      <c r="T89" vm="2196">
        <f ca="1"/>
        <v>4.7188999999999997</v>
      </c>
      <c r="U89" vm="2197">
        <f ca="1"/>
        <v>260.54000000000002</v>
      </c>
      <c r="V89" vm="2198">
        <f ca="1"/>
        <v>271.57729999999998</v>
      </c>
      <c r="W89" vm="2199">
        <f ca="1"/>
        <v>160.47999999999999</v>
      </c>
      <c r="X89" vm="2200">
        <f ca="1"/>
        <v>300.51620000000003</v>
      </c>
      <c r="Y89" vm="2201">
        <f ca="1"/>
        <v>108.7938</v>
      </c>
      <c r="Z89" vm="2202">
        <f ca="1"/>
        <v>214.31200000000001</v>
      </c>
      <c r="AA89" vm="2203">
        <f ca="1"/>
        <v>13.814</v>
      </c>
      <c r="AB89" vm="2204">
        <f ca="1"/>
        <v>14.72</v>
      </c>
      <c r="AC89" vm="2205">
        <f ca="1"/>
        <v>24.76</v>
      </c>
      <c r="AD89" vm="2206">
        <f ca="1"/>
        <v>147.36000000000001</v>
      </c>
      <c r="AE89" vm="2207">
        <f ca="1"/>
        <v>125.03</v>
      </c>
      <c r="AF89" vm="2208">
        <f ca="1"/>
        <v>174.22</v>
      </c>
      <c r="AG89" vm="2209">
        <f ca="1"/>
        <v>422.82</v>
      </c>
      <c r="AH89" vm="2210">
        <f ca="1"/>
        <v>420.08</v>
      </c>
      <c r="AI89" vm="2211">
        <f ca="1"/>
        <v>141.30000000000001</v>
      </c>
      <c r="AJ89" vm="2212">
        <f ca="1"/>
        <v>115.4</v>
      </c>
      <c r="AK89" vm="2213">
        <f ca="1"/>
        <v>1061.2393999999999</v>
      </c>
      <c r="AL89" t="str">
        <f ca="1"/>
        <v/>
      </c>
      <c r="AM89" vm="808">
        <f ca="1"/>
        <v>118.22</v>
      </c>
      <c r="AN89" vm="2214">
        <f ca="1"/>
        <v>135.84</v>
      </c>
      <c r="AO89" vm="1666">
        <f ca="1"/>
        <v>432</v>
      </c>
    </row>
    <row r="90" spans="1:41" x14ac:dyDescent="0.4">
      <c r="A90" s="1">
        <f ca="1"/>
        <v>46080</v>
      </c>
      <c r="B90" vm="2215">
        <f ca="1"/>
        <v>11.526</v>
      </c>
      <c r="C90" vm="2216">
        <f ca="1"/>
        <v>113.535</v>
      </c>
      <c r="D90" vm="2217">
        <f ca="1"/>
        <v>182.88579999999999</v>
      </c>
      <c r="E90" vm="2218">
        <f ca="1"/>
        <v>644.27239999999995</v>
      </c>
      <c r="F90" vm="2219">
        <f ca="1"/>
        <v>22.71</v>
      </c>
      <c r="G90" vm="2220">
        <f ca="1"/>
        <v>273.85140000000001</v>
      </c>
      <c r="H90" vm="2221">
        <f ca="1"/>
        <v>683.61379999999997</v>
      </c>
      <c r="I90" vm="1523">
        <f ca="1"/>
        <v>71.97</v>
      </c>
      <c r="J90" vm="2222">
        <f ca="1"/>
        <v>123.0218</v>
      </c>
      <c r="K90" vm="2223">
        <f ca="1"/>
        <v>256.0498</v>
      </c>
      <c r="L90" vm="2224">
        <f ca="1"/>
        <v>959.72</v>
      </c>
      <c r="M90" vm="2225">
        <f ca="1"/>
        <v>58.26</v>
      </c>
      <c r="N90" vm="2226">
        <f ca="1"/>
        <v>25.62</v>
      </c>
      <c r="O90" t="str">
        <f ca="1"/>
        <v/>
      </c>
      <c r="P90" vm="2227">
        <f ca="1"/>
        <v>254.346</v>
      </c>
      <c r="Q90" vm="2228">
        <f ca="1"/>
        <v>2.8466</v>
      </c>
      <c r="R90" vm="2229">
        <f ca="1"/>
        <v>4.8034999999999997</v>
      </c>
      <c r="S90" vm="2230">
        <f ca="1"/>
        <v>90.82</v>
      </c>
      <c r="T90" vm="2231">
        <f ca="1"/>
        <v>4.7461000000000002</v>
      </c>
      <c r="U90" vm="2232">
        <f ca="1"/>
        <v>262.01</v>
      </c>
      <c r="V90" vm="2233">
        <f ca="1"/>
        <v>272.6816</v>
      </c>
      <c r="W90" vm="2234">
        <f ca="1"/>
        <v>160.69999999999999</v>
      </c>
      <c r="X90" vm="2235">
        <f ca="1"/>
        <v>300.9932</v>
      </c>
      <c r="Y90" vm="2236">
        <f ca="1"/>
        <v>108.89149999999999</v>
      </c>
      <c r="Z90" vm="2237">
        <f ca="1"/>
        <v>213.99700000000001</v>
      </c>
      <c r="AA90" vm="2238">
        <f ca="1"/>
        <v>13.82</v>
      </c>
      <c r="AB90" vm="2239">
        <f ca="1"/>
        <v>14.92</v>
      </c>
      <c r="AC90" vm="2240">
        <f ca="1"/>
        <v>25.1</v>
      </c>
      <c r="AD90" vm="2241">
        <f ca="1"/>
        <v>147.62</v>
      </c>
      <c r="AE90" vm="2242">
        <f ca="1"/>
        <v>125.61</v>
      </c>
      <c r="AF90" vm="2243">
        <f ca="1"/>
        <v>175.35</v>
      </c>
      <c r="AG90" vm="2244">
        <f ca="1"/>
        <v>425.96</v>
      </c>
      <c r="AH90" vm="2245">
        <f ca="1"/>
        <v>423.22</v>
      </c>
      <c r="AI90" vm="2246">
        <f ca="1"/>
        <v>142.32</v>
      </c>
      <c r="AJ90" vm="2247">
        <f ca="1"/>
        <v>115.62</v>
      </c>
      <c r="AK90" vm="2248">
        <f ca="1"/>
        <v>1065.8179</v>
      </c>
      <c r="AL90" vm="2249">
        <f ca="1"/>
        <v>178.1234</v>
      </c>
      <c r="AM90" vm="2250">
        <f ca="1"/>
        <v>117.66</v>
      </c>
      <c r="AN90" vm="2251">
        <f ca="1"/>
        <v>134.97999999999999</v>
      </c>
      <c r="AO90" vm="2252">
        <f ca="1"/>
        <v>433</v>
      </c>
    </row>
    <row r="91" spans="1:41" x14ac:dyDescent="0.4">
      <c r="A91" s="1">
        <f ca="1"/>
        <v>46081</v>
      </c>
      <c r="B91" t="str">
        <f ca="1"/>
        <v/>
      </c>
      <c r="C91" t="str">
        <f ca="1"/>
        <v/>
      </c>
      <c r="D91" t="str">
        <f ca="1"/>
        <v/>
      </c>
      <c r="E91" t="str">
        <f ca="1"/>
        <v/>
      </c>
      <c r="F91" t="str">
        <f ca="1"/>
        <v/>
      </c>
      <c r="G91" t="str">
        <f ca="1"/>
        <v/>
      </c>
      <c r="H91" t="str">
        <f ca="1"/>
        <v/>
      </c>
      <c r="I91" t="str">
        <f ca="1"/>
        <v/>
      </c>
      <c r="J91" t="str">
        <f ca="1"/>
        <v/>
      </c>
      <c r="K91" t="str">
        <f ca="1"/>
        <v/>
      </c>
      <c r="L91" t="str">
        <f ca="1"/>
        <v/>
      </c>
      <c r="M91" t="str">
        <f ca="1"/>
        <v/>
      </c>
      <c r="N91" t="str">
        <f ca="1"/>
        <v/>
      </c>
      <c r="O91" t="str">
        <f ca="1"/>
        <v/>
      </c>
      <c r="P91" t="str">
        <f ca="1"/>
        <v/>
      </c>
      <c r="Q91" t="str">
        <f ca="1"/>
        <v/>
      </c>
      <c r="R91" t="str">
        <f ca="1"/>
        <v/>
      </c>
      <c r="S91" t="str">
        <f ca="1"/>
        <v/>
      </c>
      <c r="T91" t="str">
        <f ca="1"/>
        <v/>
      </c>
      <c r="U91" t="str">
        <f ca="1"/>
        <v/>
      </c>
      <c r="V91" t="str">
        <f ca="1"/>
        <v/>
      </c>
      <c r="W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c r="AL91" t="str">
        <f ca="1"/>
        <v/>
      </c>
      <c r="AM91" t="str">
        <f ca="1"/>
        <v/>
      </c>
      <c r="AN91" t="str">
        <f ca="1"/>
        <v/>
      </c>
      <c r="AO91" t="str">
        <f ca="1"/>
        <v/>
      </c>
    </row>
    <row r="92" spans="1:41" x14ac:dyDescent="0.4">
      <c r="A92" s="1">
        <f ca="1"/>
        <v>46082</v>
      </c>
      <c r="B92" t="str">
        <f ca="1"/>
        <v/>
      </c>
      <c r="C92" t="str">
        <f ca="1"/>
        <v/>
      </c>
      <c r="D92" t="str">
        <f ca="1"/>
        <v/>
      </c>
      <c r="E92" t="str">
        <f ca="1"/>
        <v/>
      </c>
      <c r="F92" t="str">
        <f ca="1"/>
        <v/>
      </c>
      <c r="G92" t="str">
        <f ca="1"/>
        <v/>
      </c>
      <c r="H92" t="str">
        <f ca="1"/>
        <v/>
      </c>
      <c r="I92" t="str">
        <f ca="1"/>
        <v/>
      </c>
      <c r="J92" t="str">
        <f ca="1"/>
        <v/>
      </c>
      <c r="K92" t="str">
        <f ca="1"/>
        <v/>
      </c>
      <c r="L92" t="str">
        <f ca="1"/>
        <v/>
      </c>
      <c r="M92" t="str">
        <f ca="1"/>
        <v/>
      </c>
      <c r="N92" t="str">
        <f ca="1"/>
        <v/>
      </c>
      <c r="O92" t="str">
        <f ca="1"/>
        <v/>
      </c>
      <c r="P92" t="str">
        <f ca="1"/>
        <v/>
      </c>
      <c r="Q92" t="str">
        <f ca="1"/>
        <v/>
      </c>
      <c r="R92" t="str">
        <f ca="1"/>
        <v/>
      </c>
      <c r="S92" t="str">
        <f ca="1"/>
        <v/>
      </c>
      <c r="T92" t="str">
        <f ca="1"/>
        <v/>
      </c>
      <c r="U92" t="str">
        <f ca="1"/>
        <v/>
      </c>
      <c r="V92" t="str">
        <f ca="1"/>
        <v/>
      </c>
      <c r="W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c r="AL92" t="str">
        <f ca="1"/>
        <v/>
      </c>
      <c r="AM92" t="str">
        <f ca="1"/>
        <v/>
      </c>
      <c r="AN92" t="str">
        <f ca="1"/>
        <v/>
      </c>
      <c r="AO92" t="str">
        <f ca="1"/>
        <v/>
      </c>
    </row>
    <row r="93" spans="1:41" x14ac:dyDescent="0.4">
      <c r="A93" s="1">
        <f ca="1"/>
        <v>46083</v>
      </c>
      <c r="B93" vm="2253">
        <f ca="1"/>
        <v>11.59</v>
      </c>
      <c r="C93" vm="2254">
        <f ca="1"/>
        <v>113.955</v>
      </c>
      <c r="D93" vm="2255">
        <f ca="1"/>
        <v>179.40389999999999</v>
      </c>
      <c r="E93" vm="2256">
        <f ca="1"/>
        <v>631.89110000000005</v>
      </c>
      <c r="F93" vm="2000">
        <f ca="1"/>
        <v>22.805</v>
      </c>
      <c r="G93" vm="2257">
        <f ca="1"/>
        <v>269.15910000000002</v>
      </c>
      <c r="H93" vm="2258">
        <f ca="1"/>
        <v>670.06679999999994</v>
      </c>
      <c r="I93" vm="1523">
        <f ca="1"/>
        <v>71.97</v>
      </c>
      <c r="J93" vm="2259">
        <f ca="1"/>
        <v>120.6932</v>
      </c>
      <c r="K93" vm="2260">
        <f ca="1"/>
        <v>249.7261</v>
      </c>
      <c r="L93" vm="2261">
        <f ca="1"/>
        <v>935.8</v>
      </c>
      <c r="M93" vm="2262">
        <f ca="1"/>
        <v>57.77</v>
      </c>
      <c r="N93" vm="2263">
        <f ca="1"/>
        <v>25.425000000000001</v>
      </c>
      <c r="O93" vm="2264">
        <f ca="1"/>
        <v>170.51</v>
      </c>
      <c r="P93" vm="2265">
        <f ca="1"/>
        <v>253.93979999999999</v>
      </c>
      <c r="Q93" vm="320">
        <f ca="1"/>
        <v>2.8529</v>
      </c>
      <c r="R93" vm="2266">
        <f ca="1"/>
        <v>4.7539999999999996</v>
      </c>
      <c r="S93" vm="2267">
        <f ca="1"/>
        <v>89.61</v>
      </c>
      <c r="T93" vm="2268">
        <f ca="1"/>
        <v>4.7085999999999997</v>
      </c>
      <c r="U93" vm="2269">
        <f ca="1"/>
        <v>259.45</v>
      </c>
      <c r="V93" vm="2270">
        <f ca="1"/>
        <v>271.04739999999998</v>
      </c>
      <c r="W93" vm="1910">
        <f ca="1"/>
        <v>160.38</v>
      </c>
      <c r="X93" vm="2271">
        <f ca="1"/>
        <v>298.86700000000002</v>
      </c>
      <c r="Y93" vm="2272">
        <f ca="1"/>
        <v>108.5271</v>
      </c>
      <c r="Z93" vm="2273">
        <f ca="1"/>
        <v>213.608</v>
      </c>
      <c r="AA93" vm="2274">
        <f ca="1"/>
        <v>14.27</v>
      </c>
      <c r="AB93" vm="2275">
        <f ca="1"/>
        <v>15.36</v>
      </c>
      <c r="AC93" vm="2276">
        <f ca="1"/>
        <v>25.81</v>
      </c>
      <c r="AD93" vm="2277">
        <f ca="1"/>
        <v>147.51</v>
      </c>
      <c r="AE93" vm="2278">
        <f ca="1"/>
        <v>125.85</v>
      </c>
      <c r="AF93" vm="2279">
        <f ca="1"/>
        <v>179.39</v>
      </c>
      <c r="AG93" vm="2280">
        <f ca="1"/>
        <v>435.64</v>
      </c>
      <c r="AH93" vm="2281">
        <f ca="1"/>
        <v>432.78</v>
      </c>
      <c r="AI93" vm="2282">
        <f ca="1"/>
        <v>145.49</v>
      </c>
      <c r="AJ93" vm="2283">
        <f ca="1"/>
        <v>116.27</v>
      </c>
      <c r="AK93" vm="2284">
        <f ca="1"/>
        <v>1050.8258000000001</v>
      </c>
      <c r="AL93" t="str">
        <f ca="1"/>
        <v/>
      </c>
      <c r="AM93" vm="2285">
        <f ca="1"/>
        <v>112.78</v>
      </c>
      <c r="AN93" vm="2286">
        <f ca="1"/>
        <v>132.9</v>
      </c>
      <c r="AO93" vm="2177">
        <f ca="1"/>
        <v>432.5</v>
      </c>
    </row>
    <row r="94" spans="1:41" x14ac:dyDescent="0.4">
      <c r="A94" s="1">
        <f ca="1"/>
        <v>46084</v>
      </c>
      <c r="B94" vm="1516">
        <f ca="1"/>
        <v>11.464</v>
      </c>
      <c r="C94" vm="2287">
        <f ca="1"/>
        <v>112.61499999999999</v>
      </c>
      <c r="D94" vm="2288">
        <f ca="1"/>
        <v>174.61259999999999</v>
      </c>
      <c r="E94" vm="2289">
        <f ca="1"/>
        <v>613.95209999999997</v>
      </c>
      <c r="F94" vm="2290">
        <f ca="1"/>
        <v>22.515000000000001</v>
      </c>
      <c r="G94" vm="2291">
        <f ca="1"/>
        <v>262.42529999999999</v>
      </c>
      <c r="H94" vm="2292">
        <f ca="1"/>
        <v>650.55219999999997</v>
      </c>
      <c r="I94" vm="2293">
        <f ca="1"/>
        <v>70.17</v>
      </c>
      <c r="J94" vm="2294">
        <f ca="1"/>
        <v>118.0941</v>
      </c>
      <c r="K94" vm="2295">
        <f ca="1"/>
        <v>242.78540000000001</v>
      </c>
      <c r="L94" vm="2296">
        <f ca="1"/>
        <v>913.32</v>
      </c>
      <c r="M94" vm="2297">
        <f ca="1"/>
        <v>56.29</v>
      </c>
      <c r="N94" vm="2298">
        <f ca="1"/>
        <v>24.18</v>
      </c>
      <c r="O94" t="str">
        <f ca="1"/>
        <v/>
      </c>
      <c r="P94" vm="2299">
        <f ca="1"/>
        <v>247.57810000000001</v>
      </c>
      <c r="Q94" vm="2300">
        <f ca="1"/>
        <v>2.8689</v>
      </c>
      <c r="R94" vm="2301">
        <f ca="1"/>
        <v>4.7460000000000004</v>
      </c>
      <c r="S94" vm="2302">
        <f ca="1"/>
        <v>89.43</v>
      </c>
      <c r="T94" vm="2303">
        <f ca="1"/>
        <v>4.6699000000000002</v>
      </c>
      <c r="U94" vm="2304">
        <f ca="1"/>
        <v>256.41000000000003</v>
      </c>
      <c r="V94" vm="2305">
        <f ca="1"/>
        <v>268.05399999999997</v>
      </c>
      <c r="W94" vm="2306">
        <f ca="1"/>
        <v>159.57</v>
      </c>
      <c r="X94" vm="2307">
        <f ca="1"/>
        <v>295.27499999999998</v>
      </c>
      <c r="Y94" vm="2308">
        <f ca="1"/>
        <v>108.3201</v>
      </c>
      <c r="Z94" vm="2309">
        <f ca="1"/>
        <v>213.10300000000001</v>
      </c>
      <c r="AA94" vm="2310">
        <f ca="1"/>
        <v>14.558</v>
      </c>
      <c r="AB94" vm="2311">
        <f ca="1"/>
        <v>15.42</v>
      </c>
      <c r="AC94" vm="2312">
        <f ca="1"/>
        <v>25.91</v>
      </c>
      <c r="AD94" vm="2058">
        <f ca="1"/>
        <v>147.03</v>
      </c>
      <c r="AE94" vm="2313">
        <f ca="1"/>
        <v>125.1</v>
      </c>
      <c r="AF94" vm="2314">
        <f ca="1"/>
        <v>175.08</v>
      </c>
      <c r="AG94" vm="2315">
        <f ca="1"/>
        <v>424.82</v>
      </c>
      <c r="AH94" vm="2316">
        <f ca="1"/>
        <v>422.04</v>
      </c>
      <c r="AI94" vm="2317">
        <f ca="1"/>
        <v>141.86000000000001</v>
      </c>
      <c r="AJ94" vm="2318">
        <f ca="1"/>
        <v>117.38</v>
      </c>
      <c r="AK94" vm="2319">
        <f ca="1"/>
        <v>1049.9508000000001</v>
      </c>
      <c r="AL94" t="str">
        <f ca="1"/>
        <v/>
      </c>
      <c r="AM94" vm="2320">
        <f ca="1"/>
        <v>105.18</v>
      </c>
      <c r="AN94" vm="2321">
        <f ca="1"/>
        <v>129.76</v>
      </c>
      <c r="AO94" vm="2322">
        <f ca="1"/>
        <v>435</v>
      </c>
    </row>
    <row r="95" spans="1:41" x14ac:dyDescent="0.4">
      <c r="A95" s="1">
        <f ca="1"/>
        <v>46085</v>
      </c>
      <c r="B95" vm="2323">
        <f ca="1"/>
        <v>11.484</v>
      </c>
      <c r="C95" vm="2324">
        <f ca="1"/>
        <v>113.85</v>
      </c>
      <c r="D95" vm="2325">
        <f ca="1"/>
        <v>176.90170000000001</v>
      </c>
      <c r="E95" vm="2326">
        <f ca="1"/>
        <v>621.48239999999998</v>
      </c>
      <c r="F95" vm="2327">
        <f ca="1"/>
        <v>22.72</v>
      </c>
      <c r="G95" vm="2328">
        <f ca="1"/>
        <v>265.99020000000002</v>
      </c>
      <c r="H95" vm="2329">
        <f ca="1"/>
        <v>662.48860000000002</v>
      </c>
      <c r="I95" vm="911">
        <f ca="1"/>
        <v>71.22</v>
      </c>
      <c r="J95" vm="2330">
        <f ca="1"/>
        <v>120.46810000000001</v>
      </c>
      <c r="K95" vm="2331">
        <f ca="1"/>
        <v>245.6842</v>
      </c>
      <c r="L95" vm="2332">
        <f ca="1"/>
        <v>925.61</v>
      </c>
      <c r="M95" vm="2333">
        <f ca="1"/>
        <v>57.23</v>
      </c>
      <c r="N95" vm="2334">
        <f ca="1"/>
        <v>24.63</v>
      </c>
      <c r="O95" vm="1141">
        <f ca="1"/>
        <v>158.55000000000001</v>
      </c>
      <c r="P95" vm="2335">
        <f ca="1"/>
        <v>235.5505</v>
      </c>
      <c r="Q95" vm="2336">
        <f ca="1"/>
        <v>2.8542000000000001</v>
      </c>
      <c r="R95" vm="2337">
        <f ca="1"/>
        <v>4.7450000000000001</v>
      </c>
      <c r="S95" vm="2338">
        <f ca="1"/>
        <v>89.15</v>
      </c>
      <c r="T95" vm="2339">
        <f ca="1"/>
        <v>4.6687000000000003</v>
      </c>
      <c r="U95" vm="2340">
        <f ca="1"/>
        <v>257.52999999999997</v>
      </c>
      <c r="V95" vm="2341">
        <f ca="1"/>
        <v>268.83</v>
      </c>
      <c r="W95" vm="2342">
        <f ca="1"/>
        <v>159.84</v>
      </c>
      <c r="X95" vm="2343">
        <f ca="1"/>
        <v>296.94929999999999</v>
      </c>
      <c r="Y95" vm="2344">
        <f ca="1"/>
        <v>108.51139999999999</v>
      </c>
      <c r="Z95" vm="1465">
        <f ca="1"/>
        <v>213.626</v>
      </c>
      <c r="AA95" vm="2345">
        <f ca="1"/>
        <v>14.41</v>
      </c>
      <c r="AB95" vm="2346">
        <f ca="1"/>
        <v>15.56</v>
      </c>
      <c r="AC95" vm="2347">
        <f ca="1"/>
        <v>26.14</v>
      </c>
      <c r="AD95" vm="2348">
        <f ca="1"/>
        <v>147.31</v>
      </c>
      <c r="AE95" vm="2349">
        <f ca="1"/>
        <v>125.18</v>
      </c>
      <c r="AF95" vm="2350">
        <f ca="1"/>
        <v>175.51</v>
      </c>
      <c r="AG95" vm="2351">
        <f ca="1"/>
        <v>426.3</v>
      </c>
      <c r="AH95" vm="2352">
        <f ca="1"/>
        <v>423.32</v>
      </c>
      <c r="AI95" vm="2353">
        <f ca="1"/>
        <v>142.34</v>
      </c>
      <c r="AJ95" vm="2354">
        <f ca="1"/>
        <v>116.91</v>
      </c>
      <c r="AK95" vm="2355">
        <f ca="1"/>
        <v>1045.3985</v>
      </c>
      <c r="AL95" t="str">
        <f ca="1"/>
        <v/>
      </c>
      <c r="AM95" vm="2356">
        <f ca="1"/>
        <v>107.22</v>
      </c>
      <c r="AN95" vm="2357">
        <f ca="1"/>
        <v>130.97999999999999</v>
      </c>
      <c r="AO95" vm="2322">
        <f ca="1"/>
        <v>435</v>
      </c>
    </row>
    <row r="96" spans="1:41" x14ac:dyDescent="0.4">
      <c r="A96" s="1">
        <f ca="1"/>
        <v>46086</v>
      </c>
      <c r="B96" vm="2358">
        <f ca="1"/>
        <v>11.416</v>
      </c>
      <c r="C96" vm="2359">
        <f ca="1"/>
        <v>113.30500000000001</v>
      </c>
      <c r="D96" vm="2360">
        <f ca="1"/>
        <v>175.06379999999999</v>
      </c>
      <c r="E96" vm="2361">
        <f ca="1"/>
        <v>614.84299999999996</v>
      </c>
      <c r="F96" vm="2362">
        <f ca="1"/>
        <v>22.49</v>
      </c>
      <c r="G96" vm="2363">
        <f ca="1"/>
        <v>264.25209999999998</v>
      </c>
      <c r="H96" vm="2364">
        <f ca="1"/>
        <v>658.28229999999996</v>
      </c>
      <c r="I96" vm="2365">
        <f ca="1"/>
        <v>70.180000000000007</v>
      </c>
      <c r="J96" vm="2366">
        <f ca="1"/>
        <v>121.0309</v>
      </c>
      <c r="K96" vm="2367">
        <f ca="1"/>
        <v>242.60400000000001</v>
      </c>
      <c r="L96" vm="2368">
        <f ca="1"/>
        <v>916.03</v>
      </c>
      <c r="M96" vm="2369">
        <f ca="1"/>
        <v>56.67</v>
      </c>
      <c r="N96" vm="2370">
        <f ca="1"/>
        <v>24.265000000000001</v>
      </c>
      <c r="O96" vm="2371">
        <f ca="1"/>
        <v>161.47999999999999</v>
      </c>
      <c r="P96" vm="2372">
        <f ca="1"/>
        <v>242.14070000000001</v>
      </c>
      <c r="Q96" vm="2373">
        <f ca="1"/>
        <v>2.8489</v>
      </c>
      <c r="R96" vm="2374">
        <f ca="1"/>
        <v>4.7035</v>
      </c>
      <c r="S96" vm="2375">
        <f ca="1"/>
        <v>88.79</v>
      </c>
      <c r="T96" vm="2376">
        <f ca="1"/>
        <v>4.6273</v>
      </c>
      <c r="U96" vm="2377">
        <f ca="1"/>
        <v>254.77</v>
      </c>
      <c r="V96" vm="2378">
        <f ca="1"/>
        <v>267.58859999999999</v>
      </c>
      <c r="W96" vm="1649">
        <f ca="1"/>
        <v>159.58000000000001</v>
      </c>
      <c r="X96" vm="2379">
        <f ca="1"/>
        <v>295.49829999999997</v>
      </c>
      <c r="Y96" vm="2380">
        <f ca="1"/>
        <v>108.089</v>
      </c>
      <c r="Z96" vm="2381">
        <f ca="1"/>
        <v>213.333</v>
      </c>
      <c r="AA96" vm="2382">
        <f ca="1"/>
        <v>14.667999999999999</v>
      </c>
      <c r="AB96" vm="2383">
        <f ca="1"/>
        <v>15.8</v>
      </c>
      <c r="AC96" vm="2384">
        <f ca="1"/>
        <v>26.52</v>
      </c>
      <c r="AD96" vm="2385">
        <f ca="1"/>
        <v>147.08000000000001</v>
      </c>
      <c r="AE96" vm="2386">
        <f ca="1"/>
        <v>124.7</v>
      </c>
      <c r="AF96" vm="2387">
        <f ca="1"/>
        <v>173.34</v>
      </c>
      <c r="AG96" vm="2388">
        <f ca="1"/>
        <v>421</v>
      </c>
      <c r="AH96" vm="2389">
        <f ca="1"/>
        <v>418.24</v>
      </c>
      <c r="AI96" vm="2390">
        <f ca="1"/>
        <v>140.59</v>
      </c>
      <c r="AJ96" vm="2391">
        <f ca="1"/>
        <v>117.34</v>
      </c>
      <c r="AK96" vm="2392">
        <f ca="1"/>
        <v>1048.5273</v>
      </c>
      <c r="AL96" t="str">
        <f ca="1"/>
        <v/>
      </c>
      <c r="AM96" vm="2393">
        <f ca="1"/>
        <v>103.98</v>
      </c>
      <c r="AN96" vm="2394">
        <f ca="1"/>
        <v>128.19999999999999</v>
      </c>
      <c r="AO96" vm="2395">
        <f ca="1"/>
        <v>438.5</v>
      </c>
    </row>
    <row r="97" spans="1:41" x14ac:dyDescent="0.4">
      <c r="A97" s="1">
        <f ca="1"/>
        <v>46087</v>
      </c>
      <c r="B97" vm="904">
        <f ca="1"/>
        <v>11.396000000000001</v>
      </c>
      <c r="C97" vm="2396">
        <f ca="1"/>
        <v>112.015</v>
      </c>
      <c r="D97" vm="2397">
        <f ca="1"/>
        <v>173.26769999999999</v>
      </c>
      <c r="E97" vm="2398">
        <f ca="1"/>
        <v>607.00670000000002</v>
      </c>
      <c r="F97" vm="2399">
        <f ca="1"/>
        <v>22.004999999999999</v>
      </c>
      <c r="G97" vm="2400">
        <f ca="1"/>
        <v>263.74380000000002</v>
      </c>
      <c r="H97" vm="2401">
        <f ca="1"/>
        <v>641.84190000000001</v>
      </c>
      <c r="I97" vm="2402">
        <f ca="1"/>
        <v>69.290000000000006</v>
      </c>
      <c r="J97" vm="2403">
        <f ca="1"/>
        <v>121.2783</v>
      </c>
      <c r="K97" vm="2404">
        <f ca="1"/>
        <v>240.39500000000001</v>
      </c>
      <c r="L97" vm="2405">
        <f ca="1"/>
        <v>904.16</v>
      </c>
      <c r="M97" vm="2406">
        <f ca="1"/>
        <v>55.73</v>
      </c>
      <c r="N97" vm="2407">
        <f ca="1"/>
        <v>24.1</v>
      </c>
      <c r="O97" vm="2408">
        <f ca="1"/>
        <v>162.16999999999999</v>
      </c>
      <c r="P97" vm="2409">
        <f ca="1"/>
        <v>240.7792</v>
      </c>
      <c r="Q97" vm="2410">
        <f ca="1"/>
        <v>2.8340000000000001</v>
      </c>
      <c r="R97" vm="2411">
        <f ca="1"/>
        <v>4.6974999999999998</v>
      </c>
      <c r="S97" vm="2412">
        <f ca="1"/>
        <v>88.46</v>
      </c>
      <c r="T97" vm="2413">
        <f ca="1"/>
        <v>4.6298000000000004</v>
      </c>
      <c r="U97" vm="2414">
        <f ca="1"/>
        <v>254.4</v>
      </c>
      <c r="V97" vm="2415">
        <f ca="1"/>
        <v>265.81110000000001</v>
      </c>
      <c r="W97" vm="2416">
        <f ca="1"/>
        <v>159.16</v>
      </c>
      <c r="X97" vm="2417">
        <f ca="1"/>
        <v>292.25369999999998</v>
      </c>
      <c r="Y97" vm="2418">
        <f ca="1"/>
        <v>107.9508</v>
      </c>
      <c r="Z97" vm="2419">
        <f ca="1"/>
        <v>212.65700000000001</v>
      </c>
      <c r="AA97" vm="2420">
        <f ca="1"/>
        <v>15.026</v>
      </c>
      <c r="AB97" vm="2421">
        <f ca="1"/>
        <v>16.38</v>
      </c>
      <c r="AC97" vm="2422">
        <f ca="1"/>
        <v>27.51</v>
      </c>
      <c r="AD97" vm="2423">
        <f ca="1"/>
        <v>146.9</v>
      </c>
      <c r="AE97" vm="2424">
        <f ca="1"/>
        <v>124.6</v>
      </c>
      <c r="AF97" vm="2425">
        <f ca="1"/>
        <v>175.52</v>
      </c>
      <c r="AG97" vm="2426">
        <f ca="1"/>
        <v>426.22</v>
      </c>
      <c r="AH97" vm="1435">
        <f ca="1"/>
        <v>423.48</v>
      </c>
      <c r="AI97" vm="2353">
        <f ca="1"/>
        <v>142.34</v>
      </c>
      <c r="AJ97" vm="2427">
        <f ca="1"/>
        <v>118.38</v>
      </c>
      <c r="AK97" vm="2428">
        <f ca="1"/>
        <v>1049.5797</v>
      </c>
      <c r="AL97" t="str">
        <f ca="1"/>
        <v/>
      </c>
      <c r="AM97" vm="2429">
        <f ca="1"/>
        <v>95.87</v>
      </c>
      <c r="AN97" vm="2430">
        <f ca="1"/>
        <v>122.62</v>
      </c>
      <c r="AO97" vm="2431">
        <f ca="1"/>
        <v>439</v>
      </c>
    </row>
    <row r="98" spans="1:41" x14ac:dyDescent="0.4">
      <c r="A98" s="1">
        <f ca="1"/>
        <v>46088</v>
      </c>
      <c r="B98" t="str">
        <f ca="1"/>
        <v/>
      </c>
      <c r="C98" t="str">
        <f ca="1"/>
        <v/>
      </c>
      <c r="D98" t="str">
        <f ca="1"/>
        <v/>
      </c>
      <c r="E98" t="str">
        <f ca="1"/>
        <v/>
      </c>
      <c r="F98" t="str">
        <f ca="1"/>
        <v/>
      </c>
      <c r="G98" t="str">
        <f ca="1"/>
        <v/>
      </c>
      <c r="H98" t="str">
        <f ca="1"/>
        <v/>
      </c>
      <c r="I98" t="str">
        <f ca="1"/>
        <v/>
      </c>
      <c r="J98" t="str">
        <f ca="1"/>
        <v/>
      </c>
      <c r="K98" t="str">
        <f ca="1"/>
        <v/>
      </c>
      <c r="L98" t="str">
        <f ca="1"/>
        <v/>
      </c>
      <c r="M98" t="str">
        <f ca="1"/>
        <v/>
      </c>
      <c r="N98" t="str">
        <f ca="1"/>
        <v/>
      </c>
      <c r="O98" t="str">
        <f ca="1"/>
        <v/>
      </c>
      <c r="P98" t="str">
        <f ca="1"/>
        <v/>
      </c>
      <c r="Q98" t="str">
        <f ca="1"/>
        <v/>
      </c>
      <c r="R98" t="str">
        <f ca="1"/>
        <v/>
      </c>
      <c r="S98" t="str">
        <f ca="1"/>
        <v/>
      </c>
      <c r="T98" t="str">
        <f ca="1"/>
        <v/>
      </c>
      <c r="U98" t="str">
        <f ca="1"/>
        <v/>
      </c>
      <c r="V98" t="str">
        <f ca="1"/>
        <v/>
      </c>
      <c r="W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c r="AL98" t="str">
        <f ca="1"/>
        <v/>
      </c>
      <c r="AM98" t="str">
        <f ca="1"/>
        <v/>
      </c>
      <c r="AN98" t="str">
        <f ca="1"/>
        <v/>
      </c>
      <c r="AO98" t="str">
        <f ca="1"/>
        <v/>
      </c>
    </row>
    <row r="99" spans="1:41" x14ac:dyDescent="0.4">
      <c r="A99" s="1">
        <f ca="1"/>
        <v>46089</v>
      </c>
      <c r="B99" t="str">
        <f ca="1"/>
        <v/>
      </c>
      <c r="C99" t="str">
        <f ca="1"/>
        <v/>
      </c>
      <c r="D99" t="str">
        <f ca="1"/>
        <v/>
      </c>
      <c r="E99" t="str">
        <f ca="1"/>
        <v/>
      </c>
      <c r="F99" t="str">
        <f ca="1"/>
        <v/>
      </c>
      <c r="G99" t="str">
        <f ca="1"/>
        <v/>
      </c>
      <c r="H99" t="str">
        <f ca="1"/>
        <v/>
      </c>
      <c r="I99" t="str">
        <f ca="1"/>
        <v/>
      </c>
      <c r="J99" t="str">
        <f ca="1"/>
        <v/>
      </c>
      <c r="K99" t="str">
        <f ca="1"/>
        <v/>
      </c>
      <c r="L99" t="str">
        <f ca="1"/>
        <v/>
      </c>
      <c r="M99" t="str">
        <f ca="1"/>
        <v/>
      </c>
      <c r="N99" t="str">
        <f ca="1"/>
        <v/>
      </c>
      <c r="O99" t="str">
        <f ca="1"/>
        <v/>
      </c>
      <c r="P99" t="str">
        <f ca="1"/>
        <v/>
      </c>
      <c r="Q99" t="str">
        <f ca="1"/>
        <v/>
      </c>
      <c r="R99" t="str">
        <f ca="1"/>
        <v/>
      </c>
      <c r="S99" t="str">
        <f ca="1"/>
        <v/>
      </c>
      <c r="T99" t="str">
        <f ca="1"/>
        <v/>
      </c>
      <c r="U99" t="str">
        <f ca="1"/>
        <v/>
      </c>
      <c r="V99" t="str">
        <f ca="1"/>
        <v/>
      </c>
      <c r="W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c r="AL99" t="str">
        <f ca="1"/>
        <v/>
      </c>
      <c r="AM99" t="str">
        <f ca="1"/>
        <v/>
      </c>
      <c r="AN99" t="str">
        <f ca="1"/>
        <v/>
      </c>
      <c r="AO99" t="str">
        <f ca="1"/>
        <v/>
      </c>
    </row>
    <row r="100" spans="1:41" x14ac:dyDescent="0.4">
      <c r="A100" s="1">
        <f ca="1"/>
        <v>46090</v>
      </c>
      <c r="B100" vm="1630">
        <f ca="1"/>
        <v>11.27</v>
      </c>
      <c r="C100" vm="2432">
        <f ca="1"/>
        <v>111.515</v>
      </c>
      <c r="D100" vm="2433">
        <f ca="1"/>
        <v>170.37289999999999</v>
      </c>
      <c r="E100" vm="2434">
        <f ca="1"/>
        <v>595.84659999999997</v>
      </c>
      <c r="F100" vm="2435">
        <f ca="1"/>
        <v>21.655000000000001</v>
      </c>
      <c r="G100" vm="2436">
        <f ca="1"/>
        <v>259.67099999999999</v>
      </c>
      <c r="H100" vm="2437">
        <f ca="1"/>
        <v>637.24680000000001</v>
      </c>
      <c r="I100" vm="2438">
        <f ca="1"/>
        <v>68.97</v>
      </c>
      <c r="J100" vm="2439">
        <f ca="1"/>
        <v>118.95659999999999</v>
      </c>
      <c r="K100" vm="2440">
        <f ca="1"/>
        <v>234.66290000000001</v>
      </c>
      <c r="L100" vm="2441">
        <f ca="1"/>
        <v>885.36</v>
      </c>
      <c r="M100" vm="2442">
        <f ca="1"/>
        <v>55.35</v>
      </c>
      <c r="N100" vm="2443">
        <f ca="1"/>
        <v>24.01</v>
      </c>
      <c r="O100" vm="2444">
        <f ca="1"/>
        <v>155.68</v>
      </c>
      <c r="P100" vm="2445">
        <f ca="1"/>
        <v>232.9718</v>
      </c>
      <c r="Q100" vm="2446">
        <f ca="1"/>
        <v>2.8508</v>
      </c>
      <c r="R100" vm="2447">
        <f ca="1"/>
        <v>4.7190000000000003</v>
      </c>
      <c r="S100" vm="1833">
        <f ca="1"/>
        <v>89.23</v>
      </c>
      <c r="T100" vm="2448">
        <f ca="1"/>
        <v>4.6299000000000001</v>
      </c>
      <c r="U100" vm="2449">
        <f ca="1"/>
        <v>254.39</v>
      </c>
      <c r="V100" vm="2450">
        <f ca="1"/>
        <v>263.73419999999999</v>
      </c>
      <c r="W100" vm="1387">
        <f ca="1"/>
        <v>158.63</v>
      </c>
      <c r="X100" vm="2451">
        <f ca="1"/>
        <v>289.6961</v>
      </c>
      <c r="Y100" vm="2452">
        <f ca="1"/>
        <v>107.93129999999999</v>
      </c>
      <c r="Z100" vm="2453">
        <f ca="1"/>
        <v>212.32300000000001</v>
      </c>
      <c r="AA100" vm="2454">
        <f ca="1"/>
        <v>15.314</v>
      </c>
      <c r="AB100" vm="2455">
        <f ca="1"/>
        <v>16.190000000000001</v>
      </c>
      <c r="AC100" vm="2456">
        <f ca="1"/>
        <v>27.14</v>
      </c>
      <c r="AD100" vm="2206">
        <f ca="1"/>
        <v>147.36000000000001</v>
      </c>
      <c r="AE100" vm="2457">
        <f ca="1"/>
        <v>125.17</v>
      </c>
      <c r="AF100" vm="2458">
        <f ca="1"/>
        <v>174.41</v>
      </c>
      <c r="AG100" vm="2459">
        <f ca="1"/>
        <v>423.6</v>
      </c>
      <c r="AH100" vm="2460">
        <f ca="1"/>
        <v>420.84</v>
      </c>
      <c r="AI100" vm="2461">
        <f ca="1"/>
        <v>141.51</v>
      </c>
      <c r="AJ100" vm="2462">
        <f ca="1"/>
        <v>118.59</v>
      </c>
      <c r="AK100" vm="2463">
        <f ca="1"/>
        <v>1045.1559999999999</v>
      </c>
      <c r="AL100" t="str">
        <f ca="1"/>
        <v/>
      </c>
      <c r="AM100" vm="2464">
        <f ca="1"/>
        <v>87.95</v>
      </c>
      <c r="AN100" vm="2465">
        <f ca="1"/>
        <v>117</v>
      </c>
      <c r="AO100" vm="2466">
        <f ca="1"/>
        <v>440.5</v>
      </c>
    </row>
    <row r="101" spans="1:41" x14ac:dyDescent="0.4">
      <c r="A101" s="1">
        <f ca="1"/>
        <v>46091</v>
      </c>
      <c r="B101" vm="2467">
        <f ca="1"/>
        <v>11.426</v>
      </c>
      <c r="C101" vm="2468">
        <f ca="1"/>
        <v>113.035</v>
      </c>
      <c r="D101" vm="2469">
        <f ca="1"/>
        <v>175.11170000000001</v>
      </c>
      <c r="E101" vm="2470">
        <f ca="1"/>
        <v>613.30250000000001</v>
      </c>
      <c r="F101" vm="2471">
        <f ca="1"/>
        <v>22.18</v>
      </c>
      <c r="G101" vm="2472">
        <f ca="1"/>
        <v>265.38600000000002</v>
      </c>
      <c r="H101" vm="2473">
        <f ca="1"/>
        <v>655.90070000000003</v>
      </c>
      <c r="I101" vm="2474">
        <f ca="1"/>
        <v>71.069999999999993</v>
      </c>
      <c r="J101" vm="2475">
        <f ca="1"/>
        <v>121.00579999999999</v>
      </c>
      <c r="K101" vm="2476">
        <f ca="1"/>
        <v>241.58959999999999</v>
      </c>
      <c r="L101" vm="2477">
        <f ca="1"/>
        <v>910.14</v>
      </c>
      <c r="M101" vm="2478">
        <f ca="1"/>
        <v>56.75</v>
      </c>
      <c r="N101" vm="2479">
        <f ca="1"/>
        <v>24.68</v>
      </c>
      <c r="O101" vm="1800">
        <f ca="1"/>
        <v>159.81</v>
      </c>
      <c r="P101" vm="2480">
        <f ca="1"/>
        <v>239.4255</v>
      </c>
      <c r="Q101" vm="2481">
        <f ca="1"/>
        <v>2.8376000000000001</v>
      </c>
      <c r="R101" vm="2482">
        <f ca="1"/>
        <v>4.7210000000000001</v>
      </c>
      <c r="S101" vm="2483">
        <f ca="1"/>
        <v>88.28</v>
      </c>
      <c r="T101" vm="2484">
        <f ca="1"/>
        <v>4.6359000000000004</v>
      </c>
      <c r="U101" vm="2485">
        <f ca="1"/>
        <v>255.47</v>
      </c>
      <c r="V101" vm="2486">
        <f ca="1"/>
        <v>266.09840000000003</v>
      </c>
      <c r="W101" vm="2487">
        <f ca="1"/>
        <v>159.19</v>
      </c>
      <c r="X101" vm="2488">
        <f ca="1"/>
        <v>293.78870000000001</v>
      </c>
      <c r="Y101" vm="2489">
        <f ca="1"/>
        <v>108.0673</v>
      </c>
      <c r="Z101" vm="2490">
        <f ca="1"/>
        <v>212.87</v>
      </c>
      <c r="AA101" vm="2491">
        <f ca="1"/>
        <v>14.974</v>
      </c>
      <c r="AB101" vm="2492">
        <f ca="1"/>
        <v>16.440000000000001</v>
      </c>
      <c r="AC101" vm="2493">
        <f ca="1"/>
        <v>27.6</v>
      </c>
      <c r="AD101" vm="2494">
        <f ca="1"/>
        <v>147.44</v>
      </c>
      <c r="AE101" vm="2495">
        <f ca="1"/>
        <v>124.89</v>
      </c>
      <c r="AF101" vm="2496">
        <f ca="1"/>
        <v>177.99</v>
      </c>
      <c r="AG101" vm="2497">
        <f ca="1"/>
        <v>432.36</v>
      </c>
      <c r="AH101" vm="2498">
        <f ca="1"/>
        <v>429.52</v>
      </c>
      <c r="AI101" vm="2499">
        <f ca="1"/>
        <v>144.38</v>
      </c>
      <c r="AJ101" vm="2500">
        <f ca="1"/>
        <v>118.34</v>
      </c>
      <c r="AK101" vm="2501">
        <f ca="1"/>
        <v>1041.0726999999999</v>
      </c>
      <c r="AL101" t="str">
        <f ca="1"/>
        <v/>
      </c>
      <c r="AM101" vm="2502">
        <f ca="1"/>
        <v>99.93</v>
      </c>
      <c r="AN101" vm="846">
        <f ca="1"/>
        <v>125.42</v>
      </c>
      <c r="AO101" vm="2503">
        <f ca="1"/>
        <v>444</v>
      </c>
    </row>
    <row r="102" spans="1:41" x14ac:dyDescent="0.4">
      <c r="A102" s="1">
        <f ca="1"/>
        <v>46092</v>
      </c>
      <c r="B102" vm="2504">
        <f ca="1"/>
        <v>11.398</v>
      </c>
      <c r="C102" vm="2505">
        <f ca="1"/>
        <v>112.63500000000001</v>
      </c>
      <c r="D102" vm="2506">
        <f ca="1"/>
        <v>173.6825</v>
      </c>
      <c r="E102" vm="2507">
        <f ca="1"/>
        <v>608.91890000000001</v>
      </c>
      <c r="F102" vm="2508">
        <f ca="1"/>
        <v>21.965</v>
      </c>
      <c r="G102" vm="2509">
        <f ca="1"/>
        <v>263.26459999999997</v>
      </c>
      <c r="H102" vm="2510">
        <f ca="1"/>
        <v>652.83510000000001</v>
      </c>
      <c r="I102" vm="2511">
        <f ca="1"/>
        <v>70.790000000000006</v>
      </c>
      <c r="J102" vm="2512">
        <f ca="1"/>
        <v>120.54940000000001</v>
      </c>
      <c r="K102" vm="2513">
        <f ca="1"/>
        <v>238.678</v>
      </c>
      <c r="L102" vm="2514">
        <f ca="1"/>
        <v>899.19</v>
      </c>
      <c r="M102" vm="2515">
        <f ca="1"/>
        <v>56.57</v>
      </c>
      <c r="N102" vm="2516">
        <f ca="1"/>
        <v>24.53</v>
      </c>
      <c r="O102" vm="2517">
        <f ca="1"/>
        <v>164.24</v>
      </c>
      <c r="P102" vm="2518">
        <f ca="1"/>
        <v>243.73089999999999</v>
      </c>
      <c r="Q102" vm="2519">
        <f ca="1"/>
        <v>2.8071000000000002</v>
      </c>
      <c r="R102" vm="2520">
        <f ca="1"/>
        <v>4.6405000000000003</v>
      </c>
      <c r="S102" vm="2521">
        <f ca="1"/>
        <v>87.14</v>
      </c>
      <c r="T102" vm="2522">
        <f ca="1"/>
        <v>4.5953999999999997</v>
      </c>
      <c r="U102" vm="2523">
        <f ca="1"/>
        <v>252.65</v>
      </c>
      <c r="V102" vm="2524">
        <f ca="1"/>
        <v>263.88249999999999</v>
      </c>
      <c r="W102" vm="2525">
        <f ca="1"/>
        <v>158.72999999999999</v>
      </c>
      <c r="X102" vm="2526">
        <f ca="1"/>
        <v>290.9366</v>
      </c>
      <c r="Y102" vm="2527">
        <f ca="1"/>
        <v>107.5812</v>
      </c>
      <c r="Z102" vm="2528">
        <f ca="1"/>
        <v>212.38399999999999</v>
      </c>
      <c r="AA102" vm="2529">
        <f ca="1"/>
        <v>15.29</v>
      </c>
      <c r="AB102" vm="2530">
        <f ca="1"/>
        <v>16.760000000000002</v>
      </c>
      <c r="AC102" vm="2531">
        <f ca="1"/>
        <v>28.13</v>
      </c>
      <c r="AD102" vm="2058">
        <f ca="1"/>
        <v>147.03</v>
      </c>
      <c r="AE102" vm="2532">
        <f ca="1"/>
        <v>124.35</v>
      </c>
      <c r="AF102" vm="2533">
        <f ca="1"/>
        <v>177.09</v>
      </c>
      <c r="AG102" vm="2534">
        <f ca="1"/>
        <v>430.04</v>
      </c>
      <c r="AH102" vm="2535">
        <f ca="1"/>
        <v>427.18</v>
      </c>
      <c r="AI102" vm="2536">
        <f ca="1"/>
        <v>143.61000000000001</v>
      </c>
      <c r="AJ102" vm="2537">
        <f ca="1"/>
        <v>118.63</v>
      </c>
      <c r="AK102" vm="2538">
        <f ca="1"/>
        <v>1033.72</v>
      </c>
      <c r="AL102" t="str">
        <f ca="1"/>
        <v/>
      </c>
      <c r="AM102" vm="2539">
        <f ca="1"/>
        <v>96.43</v>
      </c>
      <c r="AN102" vm="2540">
        <f ca="1"/>
        <v>123.24</v>
      </c>
      <c r="AO102" vm="2177">
        <f ca="1"/>
        <v>432.5</v>
      </c>
    </row>
    <row r="103" spans="1:41" x14ac:dyDescent="0.4">
      <c r="A103" s="1">
        <f ca="1"/>
        <v>46093</v>
      </c>
      <c r="B103" vm="2541">
        <f ca="1"/>
        <v>11.314</v>
      </c>
      <c r="C103" vm="2542">
        <f ca="1"/>
        <v>112.03</v>
      </c>
      <c r="D103" vm="2543">
        <f ca="1"/>
        <v>173.79750000000001</v>
      </c>
      <c r="E103" vm="2544">
        <f ca="1"/>
        <v>608.63649999999996</v>
      </c>
      <c r="F103" vm="2545">
        <f ca="1"/>
        <v>21.844999999999999</v>
      </c>
      <c r="G103" vm="2546">
        <f ca="1"/>
        <v>262.12329999999997</v>
      </c>
      <c r="H103" vm="2547">
        <f ca="1"/>
        <v>645.08929999999998</v>
      </c>
      <c r="I103" vm="2548">
        <f ca="1"/>
        <v>69.95</v>
      </c>
      <c r="J103" vm="2549">
        <f ca="1"/>
        <v>120.54259999999999</v>
      </c>
      <c r="K103" vm="2550">
        <f ca="1"/>
        <v>239.10319999999999</v>
      </c>
      <c r="L103" vm="2551">
        <f ca="1"/>
        <v>901.47</v>
      </c>
      <c r="M103" vm="2552">
        <f ca="1"/>
        <v>56.1</v>
      </c>
      <c r="N103" vm="2553">
        <f ca="1"/>
        <v>24.23</v>
      </c>
      <c r="O103" vm="2554">
        <f ca="1"/>
        <v>161.94999999999999</v>
      </c>
      <c r="P103" vm="2555">
        <f ca="1"/>
        <v>242.4066</v>
      </c>
      <c r="Q103" vm="2556">
        <f ca="1"/>
        <v>2.8081999999999998</v>
      </c>
      <c r="R103" vm="2557">
        <f ca="1"/>
        <v>4.6230000000000002</v>
      </c>
      <c r="S103" vm="2558">
        <f ca="1"/>
        <v>86.97</v>
      </c>
      <c r="T103" vm="2559">
        <f ca="1"/>
        <v>4.5660999999999996</v>
      </c>
      <c r="U103" vm="2560">
        <f ca="1"/>
        <v>250.55</v>
      </c>
      <c r="V103" vm="2561">
        <f ca="1"/>
        <v>263.44659999999999</v>
      </c>
      <c r="W103" vm="2562">
        <f ca="1"/>
        <v>158.66</v>
      </c>
      <c r="X103" vm="2563">
        <f ca="1"/>
        <v>289.5351</v>
      </c>
      <c r="Y103" vm="2564">
        <f ca="1"/>
        <v>107.2295</v>
      </c>
      <c r="Z103" vm="2565">
        <f ca="1"/>
        <v>211.47399999999999</v>
      </c>
      <c r="AA103" vm="2566">
        <f ca="1"/>
        <v>15.673999999999999</v>
      </c>
      <c r="AB103" vm="2567">
        <f ca="1"/>
        <v>17.21</v>
      </c>
      <c r="AC103" vm="2568">
        <f ca="1"/>
        <v>28.86</v>
      </c>
      <c r="AD103" vm="2569">
        <f ca="1"/>
        <v>147.1</v>
      </c>
      <c r="AE103" vm="2570">
        <f ca="1"/>
        <v>124.55</v>
      </c>
      <c r="AF103" vm="2571">
        <f ca="1"/>
        <v>176.41</v>
      </c>
      <c r="AG103" vm="2572">
        <f ca="1"/>
        <v>428.44</v>
      </c>
      <c r="AH103" vm="2573">
        <f ca="1"/>
        <v>425.62</v>
      </c>
      <c r="AI103" vm="2574">
        <f ca="1"/>
        <v>143.06</v>
      </c>
      <c r="AJ103" vm="2575">
        <f ca="1"/>
        <v>119.21</v>
      </c>
      <c r="AK103" vm="2576">
        <f ca="1"/>
        <v>1032.9262000000001</v>
      </c>
      <c r="AL103" t="str">
        <f ca="1"/>
        <v/>
      </c>
      <c r="AM103" vm="2577">
        <f ca="1"/>
        <v>91.35</v>
      </c>
      <c r="AN103" vm="2578">
        <f ca="1"/>
        <v>121</v>
      </c>
      <c r="AO103" vm="1704">
        <f ca="1"/>
        <v>430</v>
      </c>
    </row>
    <row r="104" spans="1:41" x14ac:dyDescent="0.4">
      <c r="A104" s="1">
        <f ca="1"/>
        <v>46094</v>
      </c>
      <c r="B104" vm="2579">
        <f ca="1"/>
        <v>11.4</v>
      </c>
      <c r="C104" vm="2580">
        <f ca="1"/>
        <v>111.87</v>
      </c>
      <c r="D104" vm="2581">
        <f ca="1"/>
        <v>171.52459999999999</v>
      </c>
      <c r="E104" vm="2582">
        <f ca="1"/>
        <v>599.68740000000003</v>
      </c>
      <c r="F104" vm="2583">
        <f ca="1"/>
        <v>21.774999999999999</v>
      </c>
      <c r="G104" vm="2584">
        <f ca="1"/>
        <v>260.44150000000002</v>
      </c>
      <c r="H104" vm="2585">
        <f ca="1"/>
        <v>643.46190000000001</v>
      </c>
      <c r="I104" vm="2586">
        <f ca="1"/>
        <v>69.739999999999995</v>
      </c>
      <c r="J104" vm="2587">
        <f ca="1"/>
        <v>120.0466</v>
      </c>
      <c r="K104" vm="2588">
        <f ca="1"/>
        <v>235.03559999999999</v>
      </c>
      <c r="L104" vm="2589">
        <f ca="1"/>
        <v>889.22</v>
      </c>
      <c r="M104" vm="2590">
        <f ca="1"/>
        <v>56.26</v>
      </c>
      <c r="N104" vm="2591">
        <f ca="1"/>
        <v>24.065000000000001</v>
      </c>
      <c r="O104" vm="2592">
        <f ca="1"/>
        <v>162.55000000000001</v>
      </c>
      <c r="P104" vm="2593">
        <f ca="1"/>
        <v>241.2004</v>
      </c>
      <c r="Q104" vm="2594">
        <f ca="1"/>
        <v>2.8130000000000002</v>
      </c>
      <c r="R104" vm="2595">
        <f ca="1"/>
        <v>4.5960000000000001</v>
      </c>
      <c r="S104" vm="1608">
        <f ca="1"/>
        <v>86.54</v>
      </c>
      <c r="T104" vm="1207">
        <f ca="1"/>
        <v>4.5396000000000001</v>
      </c>
      <c r="U104" vm="2596">
        <f ca="1"/>
        <v>248.9</v>
      </c>
      <c r="V104" vm="2597">
        <f ca="1"/>
        <v>262.92079999999999</v>
      </c>
      <c r="W104" vm="1387">
        <f ca="1"/>
        <v>158.63</v>
      </c>
      <c r="X104" vm="2598">
        <f ca="1"/>
        <v>288.95330000000001</v>
      </c>
      <c r="Y104" vm="2599">
        <f ca="1"/>
        <v>107.0963</v>
      </c>
      <c r="Z104" vm="2600">
        <f ca="1"/>
        <v>210.87200000000001</v>
      </c>
      <c r="AA104" vm="2601">
        <f ca="1"/>
        <v>15.824</v>
      </c>
      <c r="AB104" vm="2602">
        <f ca="1"/>
        <v>17.13</v>
      </c>
      <c r="AC104" vm="2603">
        <f ca="1"/>
        <v>28.71</v>
      </c>
      <c r="AD104" vm="1913">
        <f ca="1"/>
        <v>147.41</v>
      </c>
      <c r="AE104" vm="2604">
        <f ca="1"/>
        <v>124.34</v>
      </c>
      <c r="AF104" vm="2605">
        <f ca="1"/>
        <v>174.93</v>
      </c>
      <c r="AG104" vm="2606">
        <f ca="1"/>
        <v>424.72</v>
      </c>
      <c r="AH104" vm="2607">
        <f ca="1"/>
        <v>421.88</v>
      </c>
      <c r="AI104" vm="2608">
        <f ca="1"/>
        <v>141.83000000000001</v>
      </c>
      <c r="AJ104" vm="2609">
        <f ca="1"/>
        <v>119.57</v>
      </c>
      <c r="AK104" vm="2610">
        <f ca="1"/>
        <v>1035.6197999999999</v>
      </c>
      <c r="AL104" t="str">
        <f ca="1"/>
        <v/>
      </c>
      <c r="AM104" vm="2611">
        <f ca="1"/>
        <v>94</v>
      </c>
      <c r="AN104" vm="2612">
        <f ca="1"/>
        <v>121.44</v>
      </c>
      <c r="AO104" vm="2613">
        <f ca="1"/>
        <v>436</v>
      </c>
    </row>
    <row r="105" spans="1:41" x14ac:dyDescent="0.4">
      <c r="A105" s="1">
        <f ca="1"/>
        <v>46095</v>
      </c>
      <c r="B105" t="str">
        <f ca="1"/>
        <v/>
      </c>
      <c r="C105" t="str">
        <f ca="1"/>
        <v/>
      </c>
      <c r="D105" t="str">
        <f ca="1"/>
        <v/>
      </c>
      <c r="E105" t="str">
        <f ca="1"/>
        <v/>
      </c>
      <c r="F105" t="str">
        <f ca="1"/>
        <v/>
      </c>
      <c r="G105" t="str">
        <f ca="1"/>
        <v/>
      </c>
      <c r="H105" t="str">
        <f ca="1"/>
        <v/>
      </c>
      <c r="I105" t="str">
        <f ca="1"/>
        <v/>
      </c>
      <c r="J105" t="str">
        <f ca="1"/>
        <v/>
      </c>
      <c r="K105" t="str">
        <f ca="1"/>
        <v/>
      </c>
      <c r="L105" t="str">
        <f ca="1"/>
        <v/>
      </c>
      <c r="M105" t="str">
        <f ca="1"/>
        <v/>
      </c>
      <c r="N105" t="str">
        <f ca="1"/>
        <v/>
      </c>
      <c r="O105" t="str">
        <f ca="1"/>
        <v/>
      </c>
      <c r="P105" t="str">
        <f ca="1"/>
        <v/>
      </c>
      <c r="Q105" t="str">
        <f ca="1"/>
        <v/>
      </c>
      <c r="R105" t="str">
        <f ca="1"/>
        <v/>
      </c>
      <c r="S105" t="str">
        <f ca="1"/>
        <v/>
      </c>
      <c r="T105" t="str">
        <f ca="1"/>
        <v/>
      </c>
      <c r="U105" t="str">
        <f ca="1"/>
        <v/>
      </c>
      <c r="V105" t="str">
        <f ca="1"/>
        <v/>
      </c>
      <c r="W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c r="AL105" t="str">
        <f ca="1"/>
        <v/>
      </c>
      <c r="AM105" t="str">
        <f ca="1"/>
        <v/>
      </c>
      <c r="AN105" t="str">
        <f ca="1"/>
        <v/>
      </c>
      <c r="AO105" t="str">
        <f ca="1"/>
        <v/>
      </c>
    </row>
    <row r="106" spans="1:41" x14ac:dyDescent="0.4">
      <c r="A106" s="1">
        <f ca="1"/>
        <v>46096</v>
      </c>
      <c r="B106" t="str">
        <f ca="1"/>
        <v/>
      </c>
      <c r="C106" t="str">
        <f ca="1"/>
        <v/>
      </c>
      <c r="D106" t="str">
        <f ca="1"/>
        <v/>
      </c>
      <c r="E106" t="str">
        <f ca="1"/>
        <v/>
      </c>
      <c r="F106" t="str">
        <f ca="1"/>
        <v/>
      </c>
      <c r="G106" t="str">
        <f ca="1"/>
        <v/>
      </c>
      <c r="H106" t="str">
        <f ca="1"/>
        <v/>
      </c>
      <c r="I106" t="str">
        <f ca="1"/>
        <v/>
      </c>
      <c r="J106" t="str">
        <f ca="1"/>
        <v/>
      </c>
      <c r="K106" t="str">
        <f ca="1"/>
        <v/>
      </c>
      <c r="L106" t="str">
        <f ca="1"/>
        <v/>
      </c>
      <c r="M106" t="str">
        <f ca="1"/>
        <v/>
      </c>
      <c r="N106" t="str">
        <f ca="1"/>
        <v/>
      </c>
      <c r="O106" t="str">
        <f ca="1"/>
        <v/>
      </c>
      <c r="P106" t="str">
        <f ca="1"/>
        <v/>
      </c>
      <c r="Q106" t="str">
        <f ca="1"/>
        <v/>
      </c>
      <c r="R106" t="str">
        <f ca="1"/>
        <v/>
      </c>
      <c r="S106" t="str">
        <f ca="1"/>
        <v/>
      </c>
      <c r="T106" t="str">
        <f ca="1"/>
        <v/>
      </c>
      <c r="U106" t="str">
        <f ca="1"/>
        <v/>
      </c>
      <c r="V106" t="str">
        <f ca="1"/>
        <v/>
      </c>
      <c r="W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c r="AL106" t="str">
        <f ca="1"/>
        <v/>
      </c>
      <c r="AM106" t="str">
        <f ca="1"/>
        <v/>
      </c>
      <c r="AN106" t="str">
        <f ca="1"/>
        <v/>
      </c>
      <c r="AO106" t="str">
        <f ca="1"/>
        <v/>
      </c>
    </row>
    <row r="107" spans="1:41" x14ac:dyDescent="0.4">
      <c r="A107" s="1">
        <f ca="1"/>
        <v>46097</v>
      </c>
      <c r="B107" vm="813">
        <f ca="1"/>
        <v>11.348000000000001</v>
      </c>
      <c r="C107" vm="1191">
        <f ca="1"/>
        <v>112.185</v>
      </c>
      <c r="D107" vm="2614">
        <f ca="1"/>
        <v>172.0438</v>
      </c>
      <c r="E107" vm="2615">
        <f ca="1"/>
        <v>601.49590000000001</v>
      </c>
      <c r="F107" vm="2616">
        <f ca="1"/>
        <v>21.864999999999998</v>
      </c>
      <c r="G107" vm="2617">
        <f ca="1"/>
        <v>261.82909999999998</v>
      </c>
      <c r="H107" vm="2618">
        <f ca="1"/>
        <v>644.88879999999995</v>
      </c>
      <c r="I107" vm="2619">
        <f ca="1"/>
        <v>70.28</v>
      </c>
      <c r="J107" vm="2620">
        <f ca="1"/>
        <v>123.5783</v>
      </c>
      <c r="K107" vm="2621">
        <f ca="1"/>
        <v>235.06950000000001</v>
      </c>
      <c r="L107" vm="2622">
        <f ca="1"/>
        <v>890.48</v>
      </c>
      <c r="M107" vm="2623">
        <f ca="1"/>
        <v>56.8</v>
      </c>
      <c r="N107" vm="1454">
        <f ca="1"/>
        <v>24.344999999999999</v>
      </c>
      <c r="O107" vm="2592">
        <f ca="1"/>
        <v>162.55000000000001</v>
      </c>
      <c r="P107" vm="2624">
        <f ca="1"/>
        <v>241.37289999999999</v>
      </c>
      <c r="Q107" vm="2625">
        <f ca="1"/>
        <v>2.8203</v>
      </c>
      <c r="R107" vm="958">
        <f ca="1"/>
        <v>4.62</v>
      </c>
      <c r="S107" vm="2626">
        <f ca="1"/>
        <v>87.21</v>
      </c>
      <c r="T107" vm="2627">
        <f ca="1"/>
        <v>4.5648999999999997</v>
      </c>
      <c r="U107" vm="2628">
        <f ca="1"/>
        <v>250.42</v>
      </c>
      <c r="V107" vm="2629">
        <f ca="1"/>
        <v>263.68860000000001</v>
      </c>
      <c r="W107" vm="2630">
        <f ca="1"/>
        <v>158.72</v>
      </c>
      <c r="X107" vm="2631">
        <f ca="1"/>
        <v>289.81139999999999</v>
      </c>
      <c r="Y107" vm="2632">
        <f ca="1"/>
        <v>107.3284</v>
      </c>
      <c r="Z107" vm="2633">
        <f ca="1"/>
        <v>211.178</v>
      </c>
      <c r="AA107" vm="2634">
        <f ca="1"/>
        <v>15.506</v>
      </c>
      <c r="AB107" vm="2635">
        <f ca="1"/>
        <v>16.899999999999999</v>
      </c>
      <c r="AC107" vm="2636">
        <f ca="1"/>
        <v>28.31</v>
      </c>
      <c r="AD107" vm="2637">
        <f ca="1"/>
        <v>147.55000000000001</v>
      </c>
      <c r="AE107" vm="1358">
        <f ca="1"/>
        <v>123.99</v>
      </c>
      <c r="AF107" vm="2638">
        <f ca="1"/>
        <v>171.91</v>
      </c>
      <c r="AG107" vm="2639">
        <f ca="1"/>
        <v>417.24</v>
      </c>
      <c r="AH107" vm="2640">
        <f ca="1"/>
        <v>414.48</v>
      </c>
      <c r="AI107" vm="2641">
        <f ca="1"/>
        <v>139.35</v>
      </c>
      <c r="AJ107" vm="2642">
        <f ca="1"/>
        <v>118.99</v>
      </c>
      <c r="AK107" vm="2643">
        <f ca="1"/>
        <v>1033.6519000000001</v>
      </c>
      <c r="AL107" t="str">
        <f ca="1"/>
        <v/>
      </c>
      <c r="AM107" vm="2644">
        <f ca="1"/>
        <v>90.54</v>
      </c>
      <c r="AN107" vm="2645">
        <f ca="1"/>
        <v>120.92</v>
      </c>
      <c r="AO107" vm="2646">
        <f ca="1"/>
        <v>437.5</v>
      </c>
    </row>
    <row r="108" spans="1:41" x14ac:dyDescent="0.4">
      <c r="A108" s="1">
        <f ca="1"/>
        <v>46098</v>
      </c>
      <c r="B108" vm="2647">
        <f ca="1"/>
        <v>11.388</v>
      </c>
      <c r="C108" vm="2648">
        <f ca="1"/>
        <v>112.44</v>
      </c>
      <c r="D108" vm="2649">
        <f ca="1"/>
        <v>171.88740000000001</v>
      </c>
      <c r="E108" vm="2650">
        <f ca="1"/>
        <v>600.09249999999997</v>
      </c>
      <c r="F108" vm="2651">
        <f ca="1"/>
        <v>21.91</v>
      </c>
      <c r="G108" vm="2652">
        <f ca="1"/>
        <v>261.78399999999999</v>
      </c>
      <c r="H108" vm="2653">
        <f ca="1"/>
        <v>647.62519999999995</v>
      </c>
      <c r="I108" vm="2654">
        <f ca="1"/>
        <v>70.44</v>
      </c>
      <c r="J108" vm="2655">
        <f ca="1"/>
        <v>123.37609999999999</v>
      </c>
      <c r="K108" vm="2656">
        <f ca="1"/>
        <v>235.1772</v>
      </c>
      <c r="L108" vm="2657">
        <f ca="1"/>
        <v>887.53</v>
      </c>
      <c r="M108" vm="2658">
        <f ca="1"/>
        <v>57.04</v>
      </c>
      <c r="N108" vm="2659">
        <f ca="1"/>
        <v>24.434999999999999</v>
      </c>
      <c r="O108" vm="2660">
        <f ca="1"/>
        <v>161.66</v>
      </c>
      <c r="P108" vm="2661">
        <f ca="1"/>
        <v>242.4769</v>
      </c>
      <c r="Q108" vm="2662">
        <f ca="1"/>
        <v>2.8231000000000002</v>
      </c>
      <c r="R108" vm="2663">
        <f ca="1"/>
        <v>4.649</v>
      </c>
      <c r="S108" vm="2664">
        <f ca="1"/>
        <v>87.45</v>
      </c>
      <c r="T108" vm="2665">
        <f ca="1"/>
        <v>4.6017999999999999</v>
      </c>
      <c r="U108" vm="2666">
        <f ca="1"/>
        <v>252.97</v>
      </c>
      <c r="V108" vm="2667">
        <f ca="1"/>
        <v>264.8091</v>
      </c>
      <c r="W108" vm="2668">
        <f ca="1"/>
        <v>158.88</v>
      </c>
      <c r="X108" vm="2669">
        <f ca="1"/>
        <v>291.7201</v>
      </c>
      <c r="Y108" vm="2670">
        <f ca="1"/>
        <v>107.5257</v>
      </c>
      <c r="Z108" vm="2671">
        <f ca="1"/>
        <v>211.595</v>
      </c>
      <c r="AA108" vm="2672">
        <f ca="1"/>
        <v>15.624000000000001</v>
      </c>
      <c r="AB108" vm="2673">
        <f ca="1"/>
        <v>17.170000000000002</v>
      </c>
      <c r="AC108" vm="2674">
        <f ca="1"/>
        <v>28.76</v>
      </c>
      <c r="AD108" vm="2675">
        <f ca="1"/>
        <v>147.75</v>
      </c>
      <c r="AE108" vm="2570">
        <f ca="1"/>
        <v>124.55</v>
      </c>
      <c r="AF108" vm="2676">
        <f ca="1"/>
        <v>171.99</v>
      </c>
      <c r="AG108" vm="2677">
        <f ca="1"/>
        <v>417.7</v>
      </c>
      <c r="AH108" vm="2678">
        <f ca="1"/>
        <v>414.94</v>
      </c>
      <c r="AI108" vm="2679">
        <f ca="1"/>
        <v>139.47999999999999</v>
      </c>
      <c r="AJ108" vm="2680">
        <f ca="1"/>
        <v>118.69</v>
      </c>
      <c r="AK108" vm="2681">
        <f ca="1"/>
        <v>1034.0604000000001</v>
      </c>
      <c r="AL108" t="str">
        <f ca="1"/>
        <v/>
      </c>
      <c r="AM108" vm="2682">
        <f ca="1"/>
        <v>91.6</v>
      </c>
      <c r="AN108" vm="2683">
        <f ca="1"/>
        <v>121.26</v>
      </c>
      <c r="AO108" vm="1922">
        <f ca="1"/>
        <v>427</v>
      </c>
    </row>
    <row r="109" spans="1:41" x14ac:dyDescent="0.4">
      <c r="A109" s="1">
        <f ca="1"/>
        <v>46099</v>
      </c>
      <c r="B109" vm="2541">
        <f ca="1"/>
        <v>11.314</v>
      </c>
      <c r="C109" vm="193">
        <f ca="1"/>
        <v>111.72</v>
      </c>
      <c r="D109" vm="2684">
        <f ca="1"/>
        <v>171.47829999999999</v>
      </c>
      <c r="E109" vm="2685">
        <f ca="1"/>
        <v>598.3596</v>
      </c>
      <c r="F109" vm="2686">
        <f ca="1"/>
        <v>21.89</v>
      </c>
      <c r="G109" vm="2687">
        <f ca="1"/>
        <v>260.25299999999999</v>
      </c>
      <c r="H109" vm="2688">
        <f ca="1"/>
        <v>637.16290000000004</v>
      </c>
      <c r="I109" vm="2689">
        <f ca="1"/>
        <v>70.62</v>
      </c>
      <c r="J109" vm="2690">
        <f ca="1"/>
        <v>124.6639</v>
      </c>
      <c r="K109" vm="2691">
        <f ca="1"/>
        <v>234.5351</v>
      </c>
      <c r="L109" vm="2692">
        <f ca="1"/>
        <v>883.2</v>
      </c>
      <c r="M109" vm="2693">
        <f ca="1"/>
        <v>57</v>
      </c>
      <c r="N109" vm="2694">
        <f ca="1"/>
        <v>24.39</v>
      </c>
      <c r="O109" vm="2695">
        <f ca="1"/>
        <v>166.7</v>
      </c>
      <c r="P109" vm="2696">
        <f ca="1"/>
        <v>247.91759999999999</v>
      </c>
      <c r="Q109" vm="2697">
        <f ca="1"/>
        <v>2.8209</v>
      </c>
      <c r="R109" vm="547">
        <f ca="1"/>
        <v>4.6364999999999998</v>
      </c>
      <c r="S109" vm="2698">
        <f ca="1"/>
        <v>86.954999999999998</v>
      </c>
      <c r="T109" vm="2699">
        <f ca="1"/>
        <v>4.6001000000000003</v>
      </c>
      <c r="U109" vm="2700">
        <f ca="1"/>
        <v>252.34</v>
      </c>
      <c r="V109" vm="2701">
        <f ca="1"/>
        <v>263.97829999999999</v>
      </c>
      <c r="W109" vm="2562">
        <f ca="1"/>
        <v>158.66</v>
      </c>
      <c r="X109" vm="2702">
        <f ca="1"/>
        <v>290.28829999999999</v>
      </c>
      <c r="Y109" vm="2703">
        <f ca="1"/>
        <v>107.2795</v>
      </c>
      <c r="Z109" vm="2704">
        <f ca="1"/>
        <v>211.32</v>
      </c>
      <c r="AA109" vm="2705">
        <f ca="1"/>
        <v>15.878</v>
      </c>
      <c r="AB109" vm="2706">
        <f ca="1"/>
        <v>17.46</v>
      </c>
      <c r="AC109" vm="2707">
        <f ca="1"/>
        <v>29.27</v>
      </c>
      <c r="AD109" vm="1950">
        <f ca="1"/>
        <v>147.46</v>
      </c>
      <c r="AE109" vm="2708">
        <f ca="1"/>
        <v>125.11</v>
      </c>
      <c r="AF109" vm="2709">
        <f ca="1"/>
        <v>167.86</v>
      </c>
      <c r="AG109" vm="2710">
        <f ca="1"/>
        <v>407.64</v>
      </c>
      <c r="AH109" vm="2711">
        <f ca="1"/>
        <v>404.96</v>
      </c>
      <c r="AI109" vm="2712">
        <f ca="1"/>
        <v>136.11000000000001</v>
      </c>
      <c r="AJ109" vm="2713">
        <f ca="1"/>
        <v>119.45</v>
      </c>
      <c r="AK109" vm="2714">
        <f ca="1"/>
        <v>1032.5047</v>
      </c>
      <c r="AL109" t="str">
        <f ca="1"/>
        <v/>
      </c>
      <c r="AM109" vm="2715">
        <f ca="1"/>
        <v>87.8</v>
      </c>
      <c r="AN109" vm="2716">
        <f ca="1"/>
        <v>121.8</v>
      </c>
      <c r="AO109" vm="2717">
        <f ca="1"/>
        <v>425</v>
      </c>
    </row>
    <row r="110" spans="1:41" x14ac:dyDescent="0.4">
      <c r="A110" s="1">
        <f ca="1"/>
        <v>46100</v>
      </c>
      <c r="B110" vm="2718">
        <f ca="1"/>
        <v>11.112</v>
      </c>
      <c r="C110" vm="2719">
        <f ca="1"/>
        <v>109.855</v>
      </c>
      <c r="D110" vm="2720">
        <f ca="1"/>
        <v>165.79589999999999</v>
      </c>
      <c r="E110" vm="2721">
        <f ca="1"/>
        <v>577.67570000000001</v>
      </c>
      <c r="F110" vm="2722">
        <f ca="1"/>
        <v>21.6</v>
      </c>
      <c r="G110" vm="2723">
        <f ca="1"/>
        <v>253.49279999999999</v>
      </c>
      <c r="H110" vm="2724">
        <f ca="1"/>
        <v>619.73749999999995</v>
      </c>
      <c r="I110" vm="2725">
        <f ca="1"/>
        <v>69.099999999999994</v>
      </c>
      <c r="J110" vm="2726">
        <f ca="1"/>
        <v>123.7013</v>
      </c>
      <c r="K110" vm="2727">
        <f ca="1"/>
        <v>225.9059</v>
      </c>
      <c r="L110" vm="2728">
        <f ca="1"/>
        <v>855.82</v>
      </c>
      <c r="M110" vm="2729">
        <f ca="1"/>
        <v>55.9</v>
      </c>
      <c r="N110" vm="2730">
        <f ca="1"/>
        <v>23.835000000000001</v>
      </c>
      <c r="O110" vm="2731">
        <f ca="1"/>
        <v>162.31</v>
      </c>
      <c r="P110" vm="2732">
        <f ca="1"/>
        <v>241.6139</v>
      </c>
      <c r="Q110" vm="2733">
        <f ca="1"/>
        <v>2.8271999999999999</v>
      </c>
      <c r="R110" vm="2734">
        <f ca="1"/>
        <v>4.6479999999999997</v>
      </c>
      <c r="S110" vm="2735">
        <f ca="1"/>
        <v>87.49</v>
      </c>
      <c r="T110" vm="2736">
        <f ca="1"/>
        <v>4.6143999999999998</v>
      </c>
      <c r="U110" vm="1349">
        <f ca="1"/>
        <v>252.57</v>
      </c>
      <c r="V110" vm="2737">
        <f ca="1"/>
        <v>262.39940000000001</v>
      </c>
      <c r="W110" vm="2738">
        <f ca="1"/>
        <v>158.16999999999999</v>
      </c>
      <c r="X110" vm="2739">
        <f ca="1"/>
        <v>287.93029999999999</v>
      </c>
      <c r="Y110" vm="2740">
        <f ca="1"/>
        <v>107.0519</v>
      </c>
      <c r="Z110" vm="2741">
        <f ca="1"/>
        <v>210.78899999999999</v>
      </c>
      <c r="AA110" vm="2742">
        <f ca="1"/>
        <v>15.77</v>
      </c>
      <c r="AB110" vm="2743">
        <f ca="1"/>
        <v>17.22</v>
      </c>
      <c r="AC110" vm="2744">
        <f ca="1"/>
        <v>28.84</v>
      </c>
      <c r="AD110" vm="2745">
        <f ca="1"/>
        <v>147.5</v>
      </c>
      <c r="AE110" vm="2746">
        <f ca="1"/>
        <v>124.63</v>
      </c>
      <c r="AF110" vm="2747">
        <f ca="1"/>
        <v>157.77000000000001</v>
      </c>
      <c r="AG110" vm="2748">
        <f ca="1"/>
        <v>383</v>
      </c>
      <c r="AH110" vm="2749">
        <f ca="1"/>
        <v>380.5</v>
      </c>
      <c r="AI110" vm="2750">
        <f ca="1"/>
        <v>127.91</v>
      </c>
      <c r="AJ110" vm="2751">
        <f ca="1"/>
        <v>119.66</v>
      </c>
      <c r="AK110" vm="2752">
        <f ca="1"/>
        <v>1031.1747</v>
      </c>
      <c r="AL110" t="str">
        <f ca="1"/>
        <v/>
      </c>
      <c r="AM110" vm="2753">
        <f ca="1"/>
        <v>90.6</v>
      </c>
      <c r="AN110" vm="1776">
        <f ca="1"/>
        <v>117.34</v>
      </c>
      <c r="AO110" vm="1891">
        <f ca="1"/>
        <v>423.5</v>
      </c>
    </row>
    <row r="111" spans="1:41" x14ac:dyDescent="0.4">
      <c r="A111" s="1">
        <f ca="1"/>
        <v>46101</v>
      </c>
      <c r="B111" vm="2754">
        <f ca="1"/>
        <v>10.997999999999999</v>
      </c>
      <c r="C111" vm="2755">
        <f ca="1"/>
        <v>108.72499999999999</v>
      </c>
      <c r="D111" vm="2756">
        <f ca="1"/>
        <v>163.2208</v>
      </c>
      <c r="E111" vm="2757">
        <f ca="1"/>
        <v>569.50149999999996</v>
      </c>
      <c r="F111" vm="2758">
        <f ca="1"/>
        <v>21.445</v>
      </c>
      <c r="G111" vm="2759">
        <f ca="1"/>
        <v>250.18539999999999</v>
      </c>
      <c r="H111" vm="2760">
        <f ca="1"/>
        <v>611.57169999999996</v>
      </c>
      <c r="I111" vm="2761">
        <f ca="1"/>
        <v>68.069999999999993</v>
      </c>
      <c r="J111" vm="2762">
        <f ca="1"/>
        <v>119.71680000000001</v>
      </c>
      <c r="K111" vm="2763">
        <f ca="1"/>
        <v>222.21979999999999</v>
      </c>
      <c r="L111" vm="2764">
        <f ca="1"/>
        <v>843.14</v>
      </c>
      <c r="M111" vm="1415">
        <f ca="1"/>
        <v>55.17</v>
      </c>
      <c r="N111" vm="2765">
        <f ca="1"/>
        <v>23.555</v>
      </c>
      <c r="O111" vm="2766">
        <f ca="1"/>
        <v>160.76</v>
      </c>
      <c r="P111" vm="2767">
        <f ca="1"/>
        <v>239.678</v>
      </c>
      <c r="Q111" vm="919">
        <f ca="1"/>
        <v>2.7703000000000002</v>
      </c>
      <c r="R111" vm="2768">
        <f ca="1"/>
        <v>4.5715000000000003</v>
      </c>
      <c r="S111" vm="2769">
        <f ca="1"/>
        <v>85.83</v>
      </c>
      <c r="T111" vm="2770">
        <f ca="1"/>
        <v>4.5502000000000002</v>
      </c>
      <c r="U111" vm="2771">
        <f ca="1"/>
        <v>248.48</v>
      </c>
      <c r="V111" vm="2772">
        <f ca="1"/>
        <v>258.42559999999997</v>
      </c>
      <c r="W111" vm="2773">
        <f ca="1"/>
        <v>157.38</v>
      </c>
      <c r="X111" vm="2774">
        <f ca="1"/>
        <v>283.60480000000001</v>
      </c>
      <c r="Y111" vm="2775">
        <f ca="1"/>
        <v>106.608</v>
      </c>
      <c r="Z111" vm="2776">
        <f ca="1"/>
        <v>209.916</v>
      </c>
      <c r="AA111" vm="2777">
        <f ca="1"/>
        <v>15.704000000000001</v>
      </c>
      <c r="AB111" vm="2778">
        <f ca="1"/>
        <v>17.329999999999998</v>
      </c>
      <c r="AC111" vm="2779">
        <f ca="1"/>
        <v>28.94</v>
      </c>
      <c r="AD111" vm="2780">
        <f ca="1"/>
        <v>146.72999999999999</v>
      </c>
      <c r="AE111" vm="2781">
        <f ca="1"/>
        <v>123.69</v>
      </c>
      <c r="AF111" vm="2782">
        <f ca="1"/>
        <v>157.31</v>
      </c>
      <c r="AG111" vm="2783">
        <f ca="1"/>
        <v>381.9</v>
      </c>
      <c r="AH111" vm="2784">
        <f ca="1"/>
        <v>379.54</v>
      </c>
      <c r="AI111" vm="2785">
        <f ca="1"/>
        <v>127.55</v>
      </c>
      <c r="AJ111" vm="2786">
        <f ca="1"/>
        <v>120.41</v>
      </c>
      <c r="AK111" vm="2787">
        <f ca="1"/>
        <v>1033.1713</v>
      </c>
      <c r="AL111" t="str">
        <f ca="1"/>
        <v/>
      </c>
      <c r="AM111" vm="2788">
        <f ca="1"/>
        <v>90.13</v>
      </c>
      <c r="AN111" vm="2789">
        <f ca="1"/>
        <v>117.96</v>
      </c>
      <c r="AO111" vm="1816">
        <f ca="1"/>
        <v>423</v>
      </c>
    </row>
    <row r="112" spans="1:41" x14ac:dyDescent="0.4">
      <c r="A112" s="1">
        <f ca="1"/>
        <v>46102</v>
      </c>
      <c r="B112" t="str">
        <f ca="1"/>
        <v/>
      </c>
      <c r="C112" t="str">
        <f ca="1"/>
        <v/>
      </c>
      <c r="D112" t="str">
        <f ca="1"/>
        <v/>
      </c>
      <c r="E112" t="str">
        <f ca="1"/>
        <v/>
      </c>
      <c r="F112" t="str">
        <f ca="1"/>
        <v/>
      </c>
      <c r="G112" t="str">
        <f ca="1"/>
        <v/>
      </c>
      <c r="H112" t="str">
        <f ca="1"/>
        <v/>
      </c>
      <c r="I112" t="str">
        <f ca="1"/>
        <v/>
      </c>
      <c r="J112" t="str">
        <f ca="1"/>
        <v/>
      </c>
      <c r="K112" t="str">
        <f ca="1"/>
        <v/>
      </c>
      <c r="L112" t="str">
        <f ca="1"/>
        <v/>
      </c>
      <c r="M112" t="str">
        <f ca="1"/>
        <v/>
      </c>
      <c r="N112" t="str">
        <f ca="1"/>
        <v/>
      </c>
      <c r="O112" t="str">
        <f ca="1"/>
        <v/>
      </c>
      <c r="P112" t="str">
        <f ca="1"/>
        <v/>
      </c>
      <c r="Q112" t="str">
        <f ca="1"/>
        <v/>
      </c>
      <c r="R112" t="str">
        <f ca="1"/>
        <v/>
      </c>
      <c r="S112" t="str">
        <f ca="1"/>
        <v/>
      </c>
      <c r="T112" t="str">
        <f ca="1"/>
        <v/>
      </c>
      <c r="U112" t="str">
        <f ca="1"/>
        <v/>
      </c>
      <c r="V112" t="str">
        <f ca="1"/>
        <v/>
      </c>
      <c r="W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c r="AL112" t="str">
        <f ca="1"/>
        <v/>
      </c>
      <c r="AM112" t="str">
        <f ca="1"/>
        <v/>
      </c>
      <c r="AN112" t="str">
        <f ca="1"/>
        <v/>
      </c>
      <c r="AO112" t="str">
        <f ca="1"/>
        <v/>
      </c>
    </row>
    <row r="113" spans="1:41" x14ac:dyDescent="0.4">
      <c r="A113" s="1">
        <f ca="1"/>
        <v>46103</v>
      </c>
      <c r="B113" t="str">
        <f ca="1"/>
        <v/>
      </c>
      <c r="C113" t="str">
        <f ca="1"/>
        <v/>
      </c>
      <c r="D113" t="str">
        <f ca="1"/>
        <v/>
      </c>
      <c r="E113" t="str">
        <f ca="1"/>
        <v/>
      </c>
      <c r="F113" t="str">
        <f ca="1"/>
        <v/>
      </c>
      <c r="G113" t="str">
        <f ca="1"/>
        <v/>
      </c>
      <c r="H113" t="str">
        <f ca="1"/>
        <v/>
      </c>
      <c r="I113" t="str">
        <f ca="1"/>
        <v/>
      </c>
      <c r="J113" t="str">
        <f ca="1"/>
        <v/>
      </c>
      <c r="K113" t="str">
        <f ca="1"/>
        <v/>
      </c>
      <c r="L113" t="str">
        <f ca="1"/>
        <v/>
      </c>
      <c r="M113" t="str">
        <f ca="1"/>
        <v/>
      </c>
      <c r="N113" t="str">
        <f ca="1"/>
        <v/>
      </c>
      <c r="O113" t="str">
        <f ca="1"/>
        <v/>
      </c>
      <c r="P113" t="str">
        <f ca="1"/>
        <v/>
      </c>
      <c r="Q113" t="str">
        <f ca="1"/>
        <v/>
      </c>
      <c r="R113" t="str">
        <f ca="1"/>
        <v/>
      </c>
      <c r="S113" t="str">
        <f ca="1"/>
        <v/>
      </c>
      <c r="T113" t="str">
        <f ca="1"/>
        <v/>
      </c>
      <c r="U113" t="str">
        <f ca="1"/>
        <v/>
      </c>
      <c r="V113" t="str">
        <f ca="1"/>
        <v/>
      </c>
      <c r="W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c r="AL113" t="str">
        <f ca="1"/>
        <v/>
      </c>
      <c r="AM113" t="str">
        <f ca="1"/>
        <v/>
      </c>
      <c r="AN113" t="str">
        <f ca="1"/>
        <v/>
      </c>
      <c r="AO113" t="str">
        <f ca="1"/>
        <v/>
      </c>
    </row>
    <row r="114" spans="1:41" x14ac:dyDescent="0.4">
      <c r="A114" s="1">
        <f ca="1"/>
        <v>46104</v>
      </c>
      <c r="B114" vm="381">
        <f ca="1"/>
        <v>11.055999999999999</v>
      </c>
      <c r="C114" vm="2790">
        <f ca="1"/>
        <v>109.155</v>
      </c>
      <c r="D114" vm="2791">
        <f ca="1"/>
        <v>164.4366</v>
      </c>
      <c r="E114" vm="2792">
        <f ca="1"/>
        <v>574.42240000000004</v>
      </c>
      <c r="F114" vm="2793">
        <f ca="1"/>
        <v>21.67</v>
      </c>
      <c r="G114" vm="2794">
        <f ca="1"/>
        <v>251.77090000000001</v>
      </c>
      <c r="H114" vm="2795">
        <f ca="1"/>
        <v>623.97770000000003</v>
      </c>
      <c r="I114" vm="2796">
        <f ca="1"/>
        <v>68.400000000000006</v>
      </c>
      <c r="J114" vm="2797">
        <f ca="1"/>
        <v>121.44289999999999</v>
      </c>
      <c r="K114" vm="2798">
        <f ca="1"/>
        <v>224.2585</v>
      </c>
      <c r="L114" vm="2799">
        <f ca="1"/>
        <v>846.32</v>
      </c>
      <c r="M114" vm="2800">
        <f ca="1"/>
        <v>54.89</v>
      </c>
      <c r="N114" vm="2801">
        <f ca="1"/>
        <v>23.504999999999999</v>
      </c>
      <c r="O114" vm="2802">
        <f ca="1"/>
        <v>155.94999999999999</v>
      </c>
      <c r="P114" vm="2803">
        <f ca="1"/>
        <v>232.22200000000001</v>
      </c>
      <c r="Q114" vm="2804">
        <f ca="1"/>
        <v>2.7665000000000002</v>
      </c>
      <c r="R114" vm="2805">
        <f ca="1"/>
        <v>4.5730000000000004</v>
      </c>
      <c r="S114" vm="2806">
        <f ca="1"/>
        <v>86.385000000000005</v>
      </c>
      <c r="T114" vm="2807">
        <f ca="1"/>
        <v>4.5826000000000002</v>
      </c>
      <c r="U114" vm="2808">
        <f ca="1"/>
        <v>250.4</v>
      </c>
      <c r="V114" vm="2809">
        <f ca="1"/>
        <v>259.851</v>
      </c>
      <c r="W114" vm="2810">
        <f ca="1"/>
        <v>157.66999999999999</v>
      </c>
      <c r="X114" vm="2811">
        <f ca="1"/>
        <v>286.2697</v>
      </c>
      <c r="Y114" vm="2812">
        <f ca="1"/>
        <v>106.8228</v>
      </c>
      <c r="Z114" vm="2813">
        <f ca="1"/>
        <v>210.215</v>
      </c>
      <c r="AA114" vm="2814">
        <f ca="1"/>
        <v>15.246</v>
      </c>
      <c r="AB114" vm="2815">
        <f ca="1"/>
        <v>16.59</v>
      </c>
      <c r="AC114" vm="2816">
        <f ca="1"/>
        <v>27.75</v>
      </c>
      <c r="AD114" vm="2817">
        <f ca="1"/>
        <v>147.30000000000001</v>
      </c>
      <c r="AE114" vm="2818">
        <f ca="1"/>
        <v>122.97</v>
      </c>
      <c r="AF114" vm="2819">
        <f ca="1"/>
        <v>149.74</v>
      </c>
      <c r="AG114" vm="2820">
        <f ca="1"/>
        <v>363.52</v>
      </c>
      <c r="AH114" vm="2821">
        <f ca="1"/>
        <v>361.2</v>
      </c>
      <c r="AI114" vm="2822">
        <f ca="1"/>
        <v>121.43</v>
      </c>
      <c r="AJ114" vm="2823">
        <f ca="1"/>
        <v>120.61</v>
      </c>
      <c r="AK114" vm="2824">
        <f ca="1"/>
        <v>1032.5442</v>
      </c>
      <c r="AL114" t="str">
        <f ca="1"/>
        <v/>
      </c>
      <c r="AM114" vm="2825">
        <f ca="1"/>
        <v>92.56</v>
      </c>
      <c r="AN114" vm="2826">
        <f ca="1"/>
        <v>121.5</v>
      </c>
      <c r="AO114" vm="1816">
        <f ca="1"/>
        <v>423</v>
      </c>
    </row>
    <row r="115" spans="1:41" x14ac:dyDescent="0.4">
      <c r="A115" s="1">
        <f ca="1"/>
        <v>46105</v>
      </c>
      <c r="B115" vm="2827">
        <f ca="1"/>
        <v>11.036</v>
      </c>
      <c r="C115" vm="2828">
        <f ca="1"/>
        <v>109.12</v>
      </c>
      <c r="D115" vm="2829">
        <f ca="1"/>
        <v>165.1559</v>
      </c>
      <c r="E115" vm="2830">
        <f ca="1"/>
        <v>577.02160000000003</v>
      </c>
      <c r="F115" vm="2831">
        <f ca="1"/>
        <v>22.015000000000001</v>
      </c>
      <c r="G115" vm="2832">
        <f ca="1"/>
        <v>253.44049999999999</v>
      </c>
      <c r="H115" vm="2833">
        <f ca="1"/>
        <v>617.62580000000003</v>
      </c>
      <c r="I115" vm="2834">
        <f ca="1"/>
        <v>68.58</v>
      </c>
      <c r="J115" vm="2835">
        <f ca="1"/>
        <v>121.1484</v>
      </c>
      <c r="K115" vm="2836">
        <f ca="1"/>
        <v>224.4795</v>
      </c>
      <c r="L115" vm="2837">
        <f ca="1"/>
        <v>850.88</v>
      </c>
      <c r="M115" vm="1271">
        <f ca="1"/>
        <v>55.41</v>
      </c>
      <c r="N115" vm="2838">
        <f ca="1"/>
        <v>23.65</v>
      </c>
      <c r="O115" vm="2839">
        <f ca="1"/>
        <v>158.38</v>
      </c>
      <c r="P115" vm="2840">
        <f ca="1"/>
        <v>235.7336</v>
      </c>
      <c r="Q115" vm="2841">
        <f ca="1"/>
        <v>2.7625999999999999</v>
      </c>
      <c r="R115" vm="2842">
        <f ca="1"/>
        <v>4.5759999999999996</v>
      </c>
      <c r="S115" vm="2843">
        <f ca="1"/>
        <v>86.01</v>
      </c>
      <c r="T115" vm="1348">
        <f ca="1"/>
        <v>4.5789</v>
      </c>
      <c r="U115" vm="2844">
        <f ca="1"/>
        <v>250.45</v>
      </c>
      <c r="V115" vm="2845">
        <f ca="1"/>
        <v>258.42869999999999</v>
      </c>
      <c r="W115" vm="2846">
        <f ca="1"/>
        <v>157.32</v>
      </c>
      <c r="X115" vm="2847">
        <f ca="1"/>
        <v>284.22449999999998</v>
      </c>
      <c r="Y115" vm="2848">
        <f ca="1"/>
        <v>106.678</v>
      </c>
      <c r="Z115" vm="2849">
        <f ca="1"/>
        <v>210.047</v>
      </c>
      <c r="AA115" vm="2850">
        <f ca="1"/>
        <v>15.433999999999999</v>
      </c>
      <c r="AB115" vm="2851">
        <f ca="1"/>
        <v>16.88</v>
      </c>
      <c r="AC115" vm="2852">
        <f ca="1"/>
        <v>28.24</v>
      </c>
      <c r="AD115" vm="754">
        <f ca="1"/>
        <v>146.94999999999999</v>
      </c>
      <c r="AE115" vm="2853">
        <f ca="1"/>
        <v>122.92</v>
      </c>
      <c r="AF115" vm="2854">
        <f ca="1"/>
        <v>150.94</v>
      </c>
      <c r="AG115" vm="2855">
        <f ca="1"/>
        <v>366.52</v>
      </c>
      <c r="AH115" vm="2856">
        <f ca="1"/>
        <v>364.2</v>
      </c>
      <c r="AI115" vm="2857">
        <f ca="1"/>
        <v>122.43</v>
      </c>
      <c r="AJ115" vm="2858">
        <f ca="1"/>
        <v>120.54</v>
      </c>
      <c r="AK115" vm="2859">
        <f ca="1"/>
        <v>1031.5858000000001</v>
      </c>
      <c r="AL115" t="str">
        <f ca="1"/>
        <v/>
      </c>
      <c r="AM115" vm="2860">
        <f ca="1"/>
        <v>92.85</v>
      </c>
      <c r="AN115" vm="2861">
        <f ca="1"/>
        <v>121.62</v>
      </c>
      <c r="AO115" vm="1816">
        <f ca="1"/>
        <v>423</v>
      </c>
    </row>
    <row r="116" spans="1:41" x14ac:dyDescent="0.4">
      <c r="A116" s="1">
        <f ca="1"/>
        <v>46106</v>
      </c>
      <c r="B116" vm="2862">
        <f ca="1"/>
        <v>11.141999999999999</v>
      </c>
      <c r="C116" vm="2863">
        <f ca="1"/>
        <v>110.185</v>
      </c>
      <c r="D116" vm="2864">
        <f ca="1"/>
        <v>168.18469999999999</v>
      </c>
      <c r="E116" vm="2865">
        <f ca="1"/>
        <v>587.56200000000001</v>
      </c>
      <c r="F116" vm="2866">
        <f ca="1"/>
        <v>22.2</v>
      </c>
      <c r="G116" vm="2867">
        <f ca="1"/>
        <v>256.654</v>
      </c>
      <c r="H116" vm="2868">
        <f ca="1"/>
        <v>629.51940000000002</v>
      </c>
      <c r="I116" vm="2869">
        <f ca="1"/>
        <v>69.709999999999994</v>
      </c>
      <c r="J116" vm="2870">
        <f ca="1"/>
        <v>123.98779999999999</v>
      </c>
      <c r="K116" vm="2871">
        <f ca="1"/>
        <v>228.8133</v>
      </c>
      <c r="L116" vm="2872">
        <f ca="1"/>
        <v>868.65</v>
      </c>
      <c r="M116" vm="2873">
        <f ca="1"/>
        <v>56.18</v>
      </c>
      <c r="N116" vm="2874">
        <f ca="1"/>
        <v>24.004999999999999</v>
      </c>
      <c r="O116" vm="2875">
        <f ca="1"/>
        <v>161.78</v>
      </c>
      <c r="P116" vm="2876">
        <f ca="1"/>
        <v>241.0034</v>
      </c>
      <c r="Q116" vm="2877">
        <f ca="1"/>
        <v>2.7932999999999999</v>
      </c>
      <c r="R116" vm="2878">
        <f ca="1"/>
        <v>4.6070000000000002</v>
      </c>
      <c r="S116" vm="2879">
        <f ca="1"/>
        <v>86.84</v>
      </c>
      <c r="T116" vm="2880">
        <f ca="1"/>
        <v>4.6360000000000001</v>
      </c>
      <c r="U116" vm="2881">
        <f ca="1"/>
        <v>254.05</v>
      </c>
      <c r="V116" vm="2882">
        <f ca="1"/>
        <v>258.61349999999999</v>
      </c>
      <c r="W116" vm="2883">
        <f ca="1"/>
        <v>157.49</v>
      </c>
      <c r="X116" vm="2884">
        <f ca="1"/>
        <v>285.08640000000003</v>
      </c>
      <c r="Y116" vm="2885">
        <f ca="1"/>
        <v>106.96720000000001</v>
      </c>
      <c r="Z116" vm="2886">
        <f ca="1"/>
        <v>210.624</v>
      </c>
      <c r="AA116" vm="2887">
        <f ca="1"/>
        <v>15.37</v>
      </c>
      <c r="AB116" vm="2888">
        <f ca="1"/>
        <v>16.829999999999998</v>
      </c>
      <c r="AC116" vm="2889">
        <f ca="1"/>
        <v>28.17</v>
      </c>
      <c r="AD116" vm="2095">
        <f ca="1"/>
        <v>147.09</v>
      </c>
      <c r="AE116" vm="2890">
        <f ca="1"/>
        <v>123.15</v>
      </c>
      <c r="AF116" vm="2891">
        <f ca="1"/>
        <v>156.02000000000001</v>
      </c>
      <c r="AG116" vm="2892">
        <f ca="1"/>
        <v>378.8</v>
      </c>
      <c r="AH116" vm="2893">
        <f ca="1"/>
        <v>376.42</v>
      </c>
      <c r="AI116" vm="2894">
        <f ca="1"/>
        <v>126.56</v>
      </c>
      <c r="AJ116" vm="2895">
        <f ca="1"/>
        <v>120.42</v>
      </c>
      <c r="AK116" vm="2896">
        <f ca="1"/>
        <v>1030.9574</v>
      </c>
      <c r="AL116" t="str">
        <f ca="1"/>
        <v/>
      </c>
      <c r="AM116" vm="2897">
        <f ca="1"/>
        <v>94.83</v>
      </c>
      <c r="AN116" vm="2898">
        <f ca="1"/>
        <v>124.66</v>
      </c>
      <c r="AO116" vm="2899">
        <f ca="1"/>
        <v>420</v>
      </c>
    </row>
    <row r="117" spans="1:41" x14ac:dyDescent="0.4">
      <c r="A117" s="1">
        <f ca="1"/>
        <v>46107</v>
      </c>
      <c r="B117" vm="2900">
        <f ca="1"/>
        <v>11.004</v>
      </c>
      <c r="C117" vm="2901">
        <f ca="1"/>
        <v>109.02</v>
      </c>
      <c r="D117" vm="2902">
        <f ca="1"/>
        <v>166.49700000000001</v>
      </c>
      <c r="E117" vm="2903">
        <f ca="1"/>
        <v>581.46029999999996</v>
      </c>
      <c r="F117" vm="2904">
        <f ca="1"/>
        <v>22.19</v>
      </c>
      <c r="G117" vm="2905">
        <f ca="1"/>
        <v>256.88749999999999</v>
      </c>
      <c r="H117" vm="2906">
        <f ca="1"/>
        <v>621.37099999999998</v>
      </c>
      <c r="I117" vm="2761">
        <f ca="1"/>
        <v>68.069999999999993</v>
      </c>
      <c r="J117" vm="2907">
        <f ca="1"/>
        <v>123.5205</v>
      </c>
      <c r="K117" vm="2908">
        <f ca="1"/>
        <v>226.95599999999999</v>
      </c>
      <c r="L117" vm="2909">
        <f ca="1"/>
        <v>862.01</v>
      </c>
      <c r="M117" vm="2910">
        <f ca="1"/>
        <v>55.72</v>
      </c>
      <c r="N117" vm="2911">
        <f ca="1"/>
        <v>23.465</v>
      </c>
      <c r="O117" t="str">
        <f ca="1"/>
        <v/>
      </c>
      <c r="P117" vm="2912">
        <f ca="1"/>
        <v>238.48099999999999</v>
      </c>
      <c r="Q117" vm="2913">
        <f ca="1"/>
        <v>2.7787999999999999</v>
      </c>
      <c r="R117" vm="2842">
        <f ca="1"/>
        <v>4.5759999999999996</v>
      </c>
      <c r="S117" vm="2914">
        <f ca="1"/>
        <v>86.11</v>
      </c>
      <c r="T117" vm="2915">
        <f ca="1"/>
        <v>4.5595999999999997</v>
      </c>
      <c r="U117" vm="2916">
        <f ca="1"/>
        <v>249.31</v>
      </c>
      <c r="V117" vm="2917">
        <f ca="1"/>
        <v>256.41770000000002</v>
      </c>
      <c r="W117" vm="2918">
        <f ca="1"/>
        <v>157.06</v>
      </c>
      <c r="X117" vm="2919">
        <f ca="1"/>
        <v>281.96510000000001</v>
      </c>
      <c r="Y117" vm="2920">
        <f ca="1"/>
        <v>106.44840000000001</v>
      </c>
      <c r="Z117" vm="2921">
        <f ca="1"/>
        <v>209.77199999999999</v>
      </c>
      <c r="AA117" vm="2922">
        <f ca="1"/>
        <v>15.666</v>
      </c>
      <c r="AB117" vm="2923">
        <f ca="1"/>
        <v>17.02</v>
      </c>
      <c r="AC117" vm="2924">
        <f ca="1"/>
        <v>28.44</v>
      </c>
      <c r="AD117" vm="1507">
        <f ca="1"/>
        <v>146.66</v>
      </c>
      <c r="AE117" vm="2925">
        <f ca="1"/>
        <v>122.82</v>
      </c>
      <c r="AF117" vm="2926">
        <f ca="1"/>
        <v>150.88</v>
      </c>
      <c r="AG117" vm="2927">
        <f ca="1"/>
        <v>366.4</v>
      </c>
      <c r="AH117" vm="2928">
        <f ca="1"/>
        <v>364.18</v>
      </c>
      <c r="AI117" vm="2929">
        <f ca="1"/>
        <v>122.44</v>
      </c>
      <c r="AJ117" vm="2930">
        <f ca="1"/>
        <v>121.29</v>
      </c>
      <c r="AK117" vm="2931">
        <f ca="1"/>
        <v>1020.8584</v>
      </c>
      <c r="AL117" t="str">
        <f ca="1"/>
        <v/>
      </c>
      <c r="AM117" vm="2932">
        <f ca="1"/>
        <v>92.27</v>
      </c>
      <c r="AN117" vm="2933">
        <f ca="1"/>
        <v>120.7</v>
      </c>
      <c r="AO117" vm="2934">
        <f ca="1"/>
        <v>417.5</v>
      </c>
    </row>
    <row r="118" spans="1:41" x14ac:dyDescent="0.4">
      <c r="A118" s="1">
        <f ca="1"/>
        <v>46108</v>
      </c>
      <c r="B118" vm="2935">
        <f ca="1"/>
        <v>10.852</v>
      </c>
      <c r="C118" vm="2936">
        <f ca="1"/>
        <v>107.47499999999999</v>
      </c>
      <c r="D118" vm="2937">
        <f ca="1"/>
        <v>164.8604</v>
      </c>
      <c r="E118" vm="2938">
        <f ca="1"/>
        <v>576.96680000000003</v>
      </c>
      <c r="F118" vm="2939">
        <f ca="1"/>
        <v>22.04</v>
      </c>
      <c r="G118" vm="2940">
        <f ca="1"/>
        <v>255.57560000000001</v>
      </c>
      <c r="H118" vm="2941">
        <f ca="1"/>
        <v>618.22569999999996</v>
      </c>
      <c r="I118" vm="2942">
        <f ca="1"/>
        <v>67.040000000000006</v>
      </c>
      <c r="J118" vm="2943">
        <f ca="1"/>
        <v>121.9466</v>
      </c>
      <c r="K118" vm="2944">
        <f ca="1"/>
        <v>225.62389999999999</v>
      </c>
      <c r="L118" vm="2945">
        <f ca="1"/>
        <v>857.13</v>
      </c>
      <c r="M118" vm="2946">
        <f ca="1"/>
        <v>55.06</v>
      </c>
      <c r="N118" vm="2947">
        <f ca="1"/>
        <v>23.315000000000001</v>
      </c>
      <c r="O118" vm="2948">
        <f ca="1"/>
        <v>159.76</v>
      </c>
      <c r="P118" vm="2949">
        <f ca="1"/>
        <v>237.83519999999999</v>
      </c>
      <c r="Q118" vm="2950">
        <f ca="1"/>
        <v>2.7778</v>
      </c>
      <c r="R118" vm="2951">
        <f ca="1"/>
        <v>4.5674999999999999</v>
      </c>
      <c r="S118" vm="2952">
        <f ca="1"/>
        <v>85.64</v>
      </c>
      <c r="T118" vm="2953">
        <f ca="1"/>
        <v>4.5121000000000002</v>
      </c>
      <c r="U118" vm="2954">
        <f ca="1"/>
        <v>246.45</v>
      </c>
      <c r="V118" vm="2955">
        <f ca="1"/>
        <v>255.0761</v>
      </c>
      <c r="W118" vm="2956">
        <f ca="1"/>
        <v>156.94999999999999</v>
      </c>
      <c r="X118" vm="2957">
        <f ca="1"/>
        <v>279.40140000000002</v>
      </c>
      <c r="Y118" vm="2958">
        <f ca="1"/>
        <v>106.28789999999999</v>
      </c>
      <c r="Z118" vm="2959">
        <f ca="1"/>
        <v>208.89500000000001</v>
      </c>
      <c r="AA118" vm="2960">
        <f ca="1"/>
        <v>15.805999999999999</v>
      </c>
      <c r="AB118" vm="2961">
        <f ca="1"/>
        <v>17.399999999999999</v>
      </c>
      <c r="AC118" vm="2962">
        <f ca="1"/>
        <v>29.1</v>
      </c>
      <c r="AD118" vm="1695">
        <f ca="1"/>
        <v>146.79</v>
      </c>
      <c r="AE118" vm="2963">
        <f ca="1"/>
        <v>122.04</v>
      </c>
      <c r="AF118" vm="2964">
        <f ca="1"/>
        <v>155.41999999999999</v>
      </c>
      <c r="AG118" vm="2965">
        <f ca="1"/>
        <v>377.24</v>
      </c>
      <c r="AH118" vm="2966">
        <f ca="1"/>
        <v>374.88</v>
      </c>
      <c r="AI118" vm="2967">
        <f ca="1"/>
        <v>126.05</v>
      </c>
      <c r="AJ118" vm="2968">
        <f ca="1"/>
        <v>122.18</v>
      </c>
      <c r="AK118" vm="2969">
        <f ca="1"/>
        <v>1020.2122000000001</v>
      </c>
      <c r="AL118" t="str">
        <f ca="1"/>
        <v/>
      </c>
      <c r="AM118" vm="2970">
        <f ca="1"/>
        <v>89.79</v>
      </c>
      <c r="AN118" vm="2971">
        <f ca="1"/>
        <v>117.98</v>
      </c>
      <c r="AO118" vm="1441">
        <f ca="1"/>
        <v>413</v>
      </c>
    </row>
    <row r="119" spans="1:41" x14ac:dyDescent="0.4">
      <c r="A119" s="1">
        <f ca="1"/>
        <v>46109</v>
      </c>
      <c r="B119" t="str">
        <f ca="1"/>
        <v/>
      </c>
      <c r="C119" t="str">
        <f ca="1"/>
        <v/>
      </c>
      <c r="D119" t="str">
        <f ca="1"/>
        <v/>
      </c>
      <c r="E119" t="str">
        <f ca="1"/>
        <v/>
      </c>
      <c r="F119" t="str">
        <f ca="1"/>
        <v/>
      </c>
      <c r="G119" t="str">
        <f ca="1"/>
        <v/>
      </c>
      <c r="H119" t="str">
        <f ca="1"/>
        <v/>
      </c>
      <c r="I119" t="str">
        <f ca="1"/>
        <v/>
      </c>
      <c r="J119" t="str">
        <f ca="1"/>
        <v/>
      </c>
      <c r="K119" t="str">
        <f ca="1"/>
        <v/>
      </c>
      <c r="L119" t="str">
        <f ca="1"/>
        <v/>
      </c>
      <c r="M119" t="str">
        <f ca="1"/>
        <v/>
      </c>
      <c r="N119" t="str">
        <f ca="1"/>
        <v/>
      </c>
      <c r="O119" t="str">
        <f ca="1"/>
        <v/>
      </c>
      <c r="P119" t="str">
        <f ca="1"/>
        <v/>
      </c>
      <c r="Q119" t="str">
        <f ca="1"/>
        <v/>
      </c>
      <c r="R119" t="str">
        <f ca="1"/>
        <v/>
      </c>
      <c r="S119" t="str">
        <f ca="1"/>
        <v/>
      </c>
      <c r="T119" t="str">
        <f ca="1"/>
        <v/>
      </c>
      <c r="U119" t="str">
        <f ca="1"/>
        <v/>
      </c>
      <c r="V119" t="str">
        <f ca="1"/>
        <v/>
      </c>
      <c r="W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c r="AL119" t="str">
        <f ca="1"/>
        <v/>
      </c>
      <c r="AM119" t="str">
        <f ca="1"/>
        <v/>
      </c>
      <c r="AN119" t="str">
        <f ca="1"/>
        <v/>
      </c>
      <c r="AO119" t="str">
        <f ca="1"/>
        <v/>
      </c>
    </row>
    <row r="120" spans="1:41" x14ac:dyDescent="0.4">
      <c r="A120" s="1">
        <f ca="1"/>
        <v>46110</v>
      </c>
      <c r="B120" t="str">
        <f ca="1"/>
        <v/>
      </c>
      <c r="C120" t="str">
        <f ca="1"/>
        <v/>
      </c>
      <c r="D120" t="str">
        <f ca="1"/>
        <v/>
      </c>
      <c r="E120" t="str">
        <f ca="1"/>
        <v/>
      </c>
      <c r="F120" t="str">
        <f ca="1"/>
        <v/>
      </c>
      <c r="G120" t="str">
        <f ca="1"/>
        <v/>
      </c>
      <c r="H120" t="str">
        <f ca="1"/>
        <v/>
      </c>
      <c r="I120" t="str">
        <f ca="1"/>
        <v/>
      </c>
      <c r="J120" t="str">
        <f ca="1"/>
        <v/>
      </c>
      <c r="K120" t="str">
        <f ca="1"/>
        <v/>
      </c>
      <c r="L120" t="str">
        <f ca="1"/>
        <v/>
      </c>
      <c r="M120" t="str">
        <f ca="1"/>
        <v/>
      </c>
      <c r="N120" t="str">
        <f ca="1"/>
        <v/>
      </c>
      <c r="O120" t="str">
        <f ca="1"/>
        <v/>
      </c>
      <c r="P120" t="str">
        <f ca="1"/>
        <v/>
      </c>
      <c r="Q120" t="str">
        <f ca="1"/>
        <v/>
      </c>
      <c r="R120" t="str">
        <f ca="1"/>
        <v/>
      </c>
      <c r="S120" t="str">
        <f ca="1"/>
        <v/>
      </c>
      <c r="T120" t="str">
        <f ca="1"/>
        <v/>
      </c>
      <c r="U120" t="str">
        <f ca="1"/>
        <v/>
      </c>
      <c r="V120" t="str">
        <f ca="1"/>
        <v/>
      </c>
      <c r="W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c r="AL120" t="str">
        <f ca="1"/>
        <v/>
      </c>
      <c r="AM120" t="str">
        <f ca="1"/>
        <v/>
      </c>
      <c r="AN120" t="str">
        <f ca="1"/>
        <v/>
      </c>
      <c r="AO120" t="str">
        <f ca="1"/>
        <v/>
      </c>
    </row>
    <row r="121" spans="1:41" x14ac:dyDescent="0.4">
      <c r="A121" s="1">
        <f ca="1"/>
        <v>46111</v>
      </c>
      <c r="B121" vm="2972">
        <f ca="1"/>
        <v>10.926</v>
      </c>
      <c r="C121" vm="2973">
        <f ca="1"/>
        <v>108.205</v>
      </c>
      <c r="D121" vm="2974">
        <f ca="1"/>
        <v>166.58019999999999</v>
      </c>
      <c r="E121" vm="2975">
        <f ca="1"/>
        <v>582.53250000000003</v>
      </c>
      <c r="F121" vm="2976">
        <f ca="1"/>
        <v>22.125</v>
      </c>
      <c r="G121" vm="2977">
        <f ca="1"/>
        <v>258.95229999999998</v>
      </c>
      <c r="H121" vm="2978">
        <f ca="1"/>
        <v>623.11569999999995</v>
      </c>
      <c r="I121" vm="2979">
        <f ca="1"/>
        <v>66.83</v>
      </c>
      <c r="J121" vm="2980">
        <f ca="1"/>
        <v>122.9371</v>
      </c>
      <c r="K121" vm="2981">
        <f ca="1"/>
        <v>227.68469999999999</v>
      </c>
      <c r="L121" vm="2982">
        <f ca="1"/>
        <v>864.94</v>
      </c>
      <c r="M121" vm="1453">
        <f ca="1"/>
        <v>55.18</v>
      </c>
      <c r="N121" vm="2983">
        <f ca="1"/>
        <v>23.184999999999999</v>
      </c>
      <c r="O121" vm="2984">
        <f ca="1"/>
        <v>158.52000000000001</v>
      </c>
      <c r="P121" vm="2985">
        <f ca="1"/>
        <v>235.76130000000001</v>
      </c>
      <c r="Q121" vm="2986">
        <f ca="1"/>
        <v>2.8220999999999998</v>
      </c>
      <c r="R121" vm="2987">
        <f ca="1"/>
        <v>4.6109999999999998</v>
      </c>
      <c r="S121" vm="2988">
        <f ca="1"/>
        <v>86.78</v>
      </c>
      <c r="T121" vm="2989">
        <f ca="1"/>
        <v>4.5633999999999997</v>
      </c>
      <c r="U121" vm="2990">
        <f ca="1"/>
        <v>249.36</v>
      </c>
      <c r="V121" vm="2991">
        <f ca="1"/>
        <v>256.92189999999999</v>
      </c>
      <c r="W121" vm="250">
        <f ca="1"/>
        <v>157.37</v>
      </c>
      <c r="X121" vm="2992">
        <f ca="1"/>
        <v>281.37349999999998</v>
      </c>
      <c r="Y121" vm="2993">
        <f ca="1"/>
        <v>106.5925</v>
      </c>
      <c r="Z121" vm="2994">
        <f ca="1"/>
        <v>208.965</v>
      </c>
      <c r="AA121" vm="2995">
        <f ca="1"/>
        <v>16.004000000000001</v>
      </c>
      <c r="AB121" vm="2996">
        <f ca="1"/>
        <v>17.5</v>
      </c>
      <c r="AC121" vm="2997">
        <f ca="1"/>
        <v>29.26</v>
      </c>
      <c r="AD121" vm="2167">
        <f ca="1"/>
        <v>147.26</v>
      </c>
      <c r="AE121" vm="2998">
        <f ca="1"/>
        <v>122.54</v>
      </c>
      <c r="AF121" vm="2999">
        <f ca="1"/>
        <v>157.30000000000001</v>
      </c>
      <c r="AG121" vm="3000">
        <f ca="1"/>
        <v>381.96</v>
      </c>
      <c r="AH121" vm="3001">
        <f ca="1"/>
        <v>379.6</v>
      </c>
      <c r="AI121" vm="3002">
        <f ca="1"/>
        <v>127.64</v>
      </c>
      <c r="AJ121" vm="3003">
        <f ca="1"/>
        <v>122.17</v>
      </c>
      <c r="AK121" vm="3004">
        <f ca="1"/>
        <v>1018.0957</v>
      </c>
      <c r="AL121" t="str">
        <f ca="1"/>
        <v/>
      </c>
      <c r="AM121" vm="3005">
        <f ca="1"/>
        <v>87.91</v>
      </c>
      <c r="AN121" vm="3006">
        <f ca="1"/>
        <v>115.76</v>
      </c>
      <c r="AO121" vm="3007">
        <f ca="1"/>
        <v>418</v>
      </c>
    </row>
    <row r="122" spans="1:41" x14ac:dyDescent="0.4">
      <c r="A122" s="1">
        <f ca="1"/>
        <v>46112</v>
      </c>
      <c r="B122" vm="3008">
        <f ca="1"/>
        <v>10.914</v>
      </c>
      <c r="C122" vm="3009">
        <f ca="1"/>
        <v>108.05500000000001</v>
      </c>
      <c r="D122" vm="3010">
        <f ca="1"/>
        <v>169.03039999999999</v>
      </c>
      <c r="E122" vm="3011">
        <f ca="1"/>
        <v>590.50739999999996</v>
      </c>
      <c r="F122" vm="3012">
        <f ca="1"/>
        <v>22.08</v>
      </c>
      <c r="G122" vm="3013">
        <f ca="1"/>
        <v>261.80900000000003</v>
      </c>
      <c r="H122" vm="3014">
        <f ca="1"/>
        <v>635.83900000000006</v>
      </c>
      <c r="I122" vm="3015">
        <f ca="1"/>
        <v>66.87</v>
      </c>
      <c r="J122" vm="3016">
        <f ca="1"/>
        <v>125.2229</v>
      </c>
      <c r="K122" vm="3017">
        <f ca="1"/>
        <v>231.3417</v>
      </c>
      <c r="L122" vm="3018">
        <f ca="1"/>
        <v>877.37</v>
      </c>
      <c r="M122" vm="3019">
        <f ca="1"/>
        <v>54.83</v>
      </c>
      <c r="N122" vm="3020">
        <f ca="1"/>
        <v>23.305</v>
      </c>
      <c r="O122" t="str">
        <f ca="1"/>
        <v/>
      </c>
      <c r="P122" vm="3021">
        <f ca="1"/>
        <v>232.87690000000001</v>
      </c>
      <c r="Q122" vm="3022">
        <f ca="1"/>
        <v>2.7974000000000001</v>
      </c>
      <c r="R122" vm="622">
        <f ca="1"/>
        <v>4.6029999999999998</v>
      </c>
      <c r="S122" vm="3023">
        <f ca="1"/>
        <v>86.69</v>
      </c>
      <c r="T122" vm="3024">
        <f ca="1"/>
        <v>4.6024000000000003</v>
      </c>
      <c r="U122" vm="3025">
        <f ca="1"/>
        <v>252.05</v>
      </c>
      <c r="V122" vm="3026">
        <f ca="1"/>
        <v>258.28960000000001</v>
      </c>
      <c r="W122" vm="439">
        <f ca="1"/>
        <v>157.66</v>
      </c>
      <c r="X122" vm="3027">
        <f ca="1"/>
        <v>283.49299999999999</v>
      </c>
      <c r="Y122" vm="3028">
        <f ca="1"/>
        <v>106.8296</v>
      </c>
      <c r="Z122" vm="3029">
        <f ca="1"/>
        <v>209.958</v>
      </c>
      <c r="AA122" vm="3030">
        <f ca="1"/>
        <v>15.872</v>
      </c>
      <c r="AB122" vm="3031">
        <f ca="1"/>
        <v>17.32</v>
      </c>
      <c r="AC122" vm="3032">
        <f ca="1"/>
        <v>28.95</v>
      </c>
      <c r="AD122" vm="3033">
        <f ca="1"/>
        <v>147.57</v>
      </c>
      <c r="AE122" vm="3034">
        <f ca="1"/>
        <v>123.24</v>
      </c>
      <c r="AF122" vm="3035">
        <f ca="1"/>
        <v>158.79</v>
      </c>
      <c r="AG122" vm="3036">
        <f ca="1"/>
        <v>385.38</v>
      </c>
      <c r="AH122" vm="3037">
        <f ca="1"/>
        <v>383.36</v>
      </c>
      <c r="AI122" vm="3038">
        <f ca="1"/>
        <v>128.80000000000001</v>
      </c>
      <c r="AJ122" vm="3039">
        <f ca="1"/>
        <v>121.11</v>
      </c>
      <c r="AK122" vm="3040">
        <f ca="1"/>
        <v>1015.3819999999999</v>
      </c>
      <c r="AL122" vm="3041">
        <f ca="1"/>
        <v>170.1524</v>
      </c>
      <c r="AM122" vm="3042">
        <f ca="1"/>
        <v>86.23</v>
      </c>
      <c r="AN122" vm="3043">
        <f ca="1"/>
        <v>113</v>
      </c>
      <c r="AO122" vm="1590">
        <f ca="1"/>
        <v>421</v>
      </c>
    </row>
    <row r="123" spans="1:41" x14ac:dyDescent="0.4">
      <c r="A123" s="1">
        <f ca="1"/>
        <v>46113</v>
      </c>
      <c r="B123" vm="3044">
        <f ca="1"/>
        <v>11.154</v>
      </c>
      <c r="C123" vm="3045">
        <f ca="1"/>
        <v>110.355</v>
      </c>
      <c r="D123" vm="3046">
        <f ca="1"/>
        <v>173.60730000000001</v>
      </c>
      <c r="E123" vm="3047">
        <f ca="1"/>
        <v>605.5951</v>
      </c>
      <c r="F123" vm="618">
        <f ca="1"/>
        <v>22.434999999999999</v>
      </c>
      <c r="G123" vm="3048">
        <f ca="1"/>
        <v>266.428</v>
      </c>
      <c r="H123" vm="3049">
        <f ca="1"/>
        <v>644.69650000000001</v>
      </c>
      <c r="I123" vm="3050">
        <f ca="1"/>
        <v>69.98</v>
      </c>
      <c r="J123" vm="3051">
        <f ca="1"/>
        <v>128.4016</v>
      </c>
      <c r="K123" vm="3052">
        <f ca="1"/>
        <v>236.9528</v>
      </c>
      <c r="L123" vm="3053">
        <f ca="1"/>
        <v>896.29</v>
      </c>
      <c r="M123" vm="3054">
        <f ca="1"/>
        <v>56.62</v>
      </c>
      <c r="N123" vm="3055">
        <f ca="1"/>
        <v>24</v>
      </c>
      <c r="O123" vm="3056">
        <f ca="1"/>
        <v>160.6</v>
      </c>
      <c r="P123" vm="3057">
        <f ca="1"/>
        <v>238.84540000000001</v>
      </c>
      <c r="Q123" vm="3058">
        <f ca="1"/>
        <v>2.7867999999999999</v>
      </c>
      <c r="R123" vm="3059">
        <f ca="1"/>
        <v>4.6234999999999999</v>
      </c>
      <c r="S123" vm="3060">
        <f ca="1"/>
        <v>86.26</v>
      </c>
      <c r="T123" vm="3061">
        <f ca="1"/>
        <v>4.6052</v>
      </c>
      <c r="U123" vm="3062">
        <f ca="1"/>
        <v>252.62</v>
      </c>
      <c r="V123" vm="3063">
        <f ca="1"/>
        <v>259.62189999999998</v>
      </c>
      <c r="W123" vm="3064">
        <f ca="1"/>
        <v>157.97</v>
      </c>
      <c r="X123" vm="3065">
        <f ca="1"/>
        <v>286.2276</v>
      </c>
      <c r="Y123" vm="3066">
        <f ca="1"/>
        <v>107.02030000000001</v>
      </c>
      <c r="Z123" vm="3067">
        <f ca="1"/>
        <v>210.84100000000001</v>
      </c>
      <c r="AA123" vm="3068">
        <f ca="1"/>
        <v>15.446</v>
      </c>
      <c r="AB123" vm="3069">
        <f ca="1"/>
        <v>17.100000000000001</v>
      </c>
      <c r="AC123" vm="3070">
        <f ca="1"/>
        <v>28.68</v>
      </c>
      <c r="AD123" vm="3071">
        <f ca="1"/>
        <v>147.85</v>
      </c>
      <c r="AE123" vm="3072">
        <f ca="1"/>
        <v>123.72</v>
      </c>
      <c r="AF123" vm="3073">
        <f ca="1"/>
        <v>163.22999999999999</v>
      </c>
      <c r="AG123" vm="3074">
        <f ca="1"/>
        <v>396.32</v>
      </c>
      <c r="AH123" vm="3075">
        <f ca="1"/>
        <v>393.88</v>
      </c>
      <c r="AI123" vm="3076">
        <f ca="1"/>
        <v>132.46</v>
      </c>
      <c r="AJ123" vm="3077">
        <f ca="1"/>
        <v>120.38</v>
      </c>
      <c r="AK123" vm="3078">
        <f ca="1"/>
        <v>1012.4671</v>
      </c>
      <c r="AL123" t="str">
        <f ca="1"/>
        <v/>
      </c>
      <c r="AM123" vm="3079">
        <f ca="1"/>
        <v>83.7</v>
      </c>
      <c r="AN123" vm="3080">
        <f ca="1"/>
        <v>111.06</v>
      </c>
      <c r="AO123" vm="2899">
        <f ca="1"/>
        <v>420</v>
      </c>
    </row>
    <row r="124" spans="1:41" x14ac:dyDescent="0.4">
      <c r="A124" s="1">
        <f ca="1"/>
        <v>46114</v>
      </c>
      <c r="B124" vm="3081">
        <f ca="1"/>
        <v>11.135999999999999</v>
      </c>
      <c r="C124" vm="3082">
        <f ca="1"/>
        <v>110.38</v>
      </c>
      <c r="D124" vm="3083">
        <f ca="1"/>
        <v>171.20660000000001</v>
      </c>
      <c r="E124" vm="3084">
        <f ca="1"/>
        <v>597.80719999999997</v>
      </c>
      <c r="F124" vm="3085">
        <f ca="1"/>
        <v>22.405000000000001</v>
      </c>
      <c r="G124" vm="3086">
        <f ca="1"/>
        <v>264.20769999999999</v>
      </c>
      <c r="H124" vm="3087">
        <f ca="1"/>
        <v>639.80840000000001</v>
      </c>
      <c r="I124" vm="2869">
        <f ca="1"/>
        <v>69.709999999999994</v>
      </c>
      <c r="J124" vm="3088">
        <f ca="1"/>
        <v>125.6857</v>
      </c>
      <c r="K124" vm="3089">
        <f ca="1"/>
        <v>233.56790000000001</v>
      </c>
      <c r="L124" vm="3090">
        <f ca="1"/>
        <v>879.4</v>
      </c>
      <c r="M124" vm="3091">
        <f ca="1"/>
        <v>56.44</v>
      </c>
      <c r="N124" vm="3092">
        <f ca="1"/>
        <v>23.75</v>
      </c>
      <c r="O124" vm="3093">
        <f ca="1"/>
        <v>159.06</v>
      </c>
      <c r="P124" vm="3094">
        <f ca="1"/>
        <v>236.31180000000001</v>
      </c>
      <c r="Q124" vm="3095">
        <f ca="1"/>
        <v>2.8081</v>
      </c>
      <c r="R124" vm="208">
        <f ca="1"/>
        <v>4.6219999999999999</v>
      </c>
      <c r="S124" vm="3096">
        <f ca="1"/>
        <v>86.79</v>
      </c>
      <c r="T124" vm="3097">
        <f ca="1"/>
        <v>4.6071</v>
      </c>
      <c r="U124" vm="3098">
        <f ca="1"/>
        <v>252.29</v>
      </c>
      <c r="V124" vm="3099">
        <f ca="1"/>
        <v>257.76060000000001</v>
      </c>
      <c r="W124" vm="3100">
        <f ca="1"/>
        <v>157.58000000000001</v>
      </c>
      <c r="X124" vm="3101">
        <f ca="1"/>
        <v>283.9049</v>
      </c>
      <c r="Y124" vm="3102">
        <f ca="1"/>
        <v>107.0487</v>
      </c>
      <c r="Z124" vm="3103">
        <f ca="1"/>
        <v>210.75399999999999</v>
      </c>
      <c r="AA124" vm="3104">
        <f ca="1"/>
        <v>15.602</v>
      </c>
      <c r="AB124" vm="3105">
        <f ca="1"/>
        <v>17.52</v>
      </c>
      <c r="AC124" vm="3106">
        <f ca="1"/>
        <v>29.33</v>
      </c>
      <c r="AD124" vm="3107">
        <f ca="1"/>
        <v>147.52000000000001</v>
      </c>
      <c r="AE124" t="str">
        <f ca="1"/>
        <v/>
      </c>
      <c r="AF124" vm="3108">
        <f ca="1"/>
        <v>160.4</v>
      </c>
      <c r="AG124" vm="3109">
        <f ca="1"/>
        <v>389.22</v>
      </c>
      <c r="AH124" vm="3110">
        <f ca="1"/>
        <v>386.84</v>
      </c>
      <c r="AI124" vm="3111">
        <f ca="1"/>
        <v>130.1</v>
      </c>
      <c r="AJ124" vm="3112">
        <f ca="1"/>
        <v>120.59</v>
      </c>
      <c r="AK124" vm="3113">
        <f ca="1"/>
        <v>1012.6337</v>
      </c>
      <c r="AL124" t="str">
        <f ca="1"/>
        <v/>
      </c>
      <c r="AM124" vm="3114">
        <f ca="1"/>
        <v>76.569999999999993</v>
      </c>
      <c r="AN124" vm="3115">
        <f ca="1"/>
        <v>105.76</v>
      </c>
      <c r="AO124" vm="3116">
        <f ca="1"/>
        <v>414.5</v>
      </c>
    </row>
    <row r="125" spans="1:41" x14ac:dyDescent="0.4">
      <c r="A125" s="1">
        <f ca="1"/>
        <v>46115</v>
      </c>
      <c r="B125" t="str">
        <f ca="1"/>
        <v/>
      </c>
      <c r="C125" t="str">
        <f ca="1"/>
        <v/>
      </c>
      <c r="D125" t="str">
        <f ca="1"/>
        <v/>
      </c>
      <c r="E125" t="str">
        <f ca="1"/>
        <v/>
      </c>
      <c r="F125" t="str">
        <f ca="1"/>
        <v/>
      </c>
      <c r="G125" t="str">
        <f ca="1"/>
        <v/>
      </c>
      <c r="H125" t="str">
        <f ca="1"/>
        <v/>
      </c>
      <c r="I125" t="str">
        <f ca="1"/>
        <v/>
      </c>
      <c r="J125" t="str">
        <f ca="1"/>
        <v/>
      </c>
      <c r="K125" t="str">
        <f ca="1"/>
        <v/>
      </c>
      <c r="L125" t="str">
        <f ca="1"/>
        <v/>
      </c>
      <c r="M125" t="str">
        <f ca="1"/>
        <v/>
      </c>
      <c r="N125" t="str">
        <f ca="1"/>
        <v/>
      </c>
      <c r="O125" t="str">
        <f ca="1"/>
        <v/>
      </c>
      <c r="P125" t="str">
        <f ca="1"/>
        <v/>
      </c>
      <c r="Q125" t="str">
        <f ca="1"/>
        <v/>
      </c>
      <c r="R125" t="str">
        <f ca="1"/>
        <v/>
      </c>
      <c r="S125" t="str">
        <f ca="1"/>
        <v/>
      </c>
      <c r="T125" t="str">
        <f ca="1"/>
        <v/>
      </c>
      <c r="U125" t="str">
        <f ca="1"/>
        <v/>
      </c>
      <c r="V125" t="str">
        <f ca="1"/>
        <v/>
      </c>
      <c r="W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c r="AL125" t="str">
        <f ca="1"/>
        <v/>
      </c>
      <c r="AM125" t="str">
        <f ca="1"/>
        <v/>
      </c>
      <c r="AN125" t="str">
        <f ca="1"/>
        <v/>
      </c>
      <c r="AO125" t="str">
        <f ca="1"/>
        <v/>
      </c>
    </row>
    <row r="126" spans="1:41" x14ac:dyDescent="0.4">
      <c r="A126" s="1">
        <f ca="1"/>
        <v>46116</v>
      </c>
      <c r="B126" t="str">
        <f ca="1"/>
        <v/>
      </c>
      <c r="C126" t="str">
        <f ca="1"/>
        <v/>
      </c>
      <c r="D126" t="str">
        <f ca="1"/>
        <v/>
      </c>
      <c r="E126" t="str">
        <f ca="1"/>
        <v/>
      </c>
      <c r="F126" t="str">
        <f ca="1"/>
        <v/>
      </c>
      <c r="G126" t="str">
        <f ca="1"/>
        <v/>
      </c>
      <c r="H126" t="str">
        <f ca="1"/>
        <v/>
      </c>
      <c r="I126" t="str">
        <f ca="1"/>
        <v/>
      </c>
      <c r="J126" t="str">
        <f ca="1"/>
        <v/>
      </c>
      <c r="K126" t="str">
        <f ca="1"/>
        <v/>
      </c>
      <c r="L126" t="str">
        <f ca="1"/>
        <v/>
      </c>
      <c r="M126" t="str">
        <f ca="1"/>
        <v/>
      </c>
      <c r="N126" t="str">
        <f ca="1"/>
        <v/>
      </c>
      <c r="O126" t="str">
        <f ca="1"/>
        <v/>
      </c>
      <c r="P126" t="str">
        <f ca="1"/>
        <v/>
      </c>
      <c r="Q126" t="str">
        <f ca="1"/>
        <v/>
      </c>
      <c r="R126" t="str">
        <f ca="1"/>
        <v/>
      </c>
      <c r="S126" t="str">
        <f ca="1"/>
        <v/>
      </c>
      <c r="T126" t="str">
        <f ca="1"/>
        <v/>
      </c>
      <c r="U126" t="str">
        <f ca="1"/>
        <v/>
      </c>
      <c r="V126" t="str">
        <f ca="1"/>
        <v/>
      </c>
      <c r="W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c r="AL126" t="str">
        <f ca="1"/>
        <v/>
      </c>
      <c r="AM126" t="str">
        <f ca="1"/>
        <v/>
      </c>
      <c r="AN126" t="str">
        <f ca="1"/>
        <v/>
      </c>
      <c r="AO126" t="str">
        <f ca="1"/>
        <v/>
      </c>
    </row>
    <row r="127" spans="1:41" x14ac:dyDescent="0.4">
      <c r="A127" s="1">
        <f ca="1"/>
        <v>46117</v>
      </c>
      <c r="B127" t="str">
        <f ca="1"/>
        <v/>
      </c>
      <c r="C127" t="str">
        <f ca="1"/>
        <v/>
      </c>
      <c r="D127" t="str">
        <f ca="1"/>
        <v/>
      </c>
      <c r="E127" t="str">
        <f ca="1"/>
        <v/>
      </c>
      <c r="F127" t="str">
        <f ca="1"/>
        <v/>
      </c>
      <c r="G127" t="str">
        <f ca="1"/>
        <v/>
      </c>
      <c r="H127" t="str">
        <f ca="1"/>
        <v/>
      </c>
      <c r="I127" t="str">
        <f ca="1"/>
        <v/>
      </c>
      <c r="J127" t="str">
        <f ca="1"/>
        <v/>
      </c>
      <c r="K127" t="str">
        <f ca="1"/>
        <v/>
      </c>
      <c r="L127" t="str">
        <f ca="1"/>
        <v/>
      </c>
      <c r="M127" t="str">
        <f ca="1"/>
        <v/>
      </c>
      <c r="N127" t="str">
        <f ca="1"/>
        <v/>
      </c>
      <c r="O127" t="str">
        <f ca="1"/>
        <v/>
      </c>
      <c r="P127" t="str">
        <f ca="1"/>
        <v/>
      </c>
      <c r="Q127" t="str">
        <f ca="1"/>
        <v/>
      </c>
      <c r="R127" t="str">
        <f ca="1"/>
        <v/>
      </c>
      <c r="S127" t="str">
        <f ca="1"/>
        <v/>
      </c>
      <c r="T127" t="str">
        <f ca="1"/>
        <v/>
      </c>
      <c r="U127" t="str">
        <f ca="1"/>
        <v/>
      </c>
      <c r="V127" t="str">
        <f ca="1"/>
        <v/>
      </c>
      <c r="W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c r="AL127" t="str">
        <f ca="1"/>
        <v/>
      </c>
      <c r="AM127" t="str">
        <f ca="1"/>
        <v/>
      </c>
      <c r="AN127" t="str">
        <f ca="1"/>
        <v/>
      </c>
      <c r="AO127" t="str">
        <f ca="1"/>
        <v/>
      </c>
    </row>
    <row r="128" spans="1:41" x14ac:dyDescent="0.4">
      <c r="A128" s="1">
        <f ca="1"/>
        <v>46118</v>
      </c>
      <c r="B128" t="str">
        <f ca="1"/>
        <v/>
      </c>
      <c r="C128" t="str">
        <f ca="1"/>
        <v/>
      </c>
      <c r="D128" t="str">
        <f ca="1"/>
        <v/>
      </c>
      <c r="E128" t="str">
        <f ca="1"/>
        <v/>
      </c>
      <c r="F128" t="str">
        <f ca="1"/>
        <v/>
      </c>
      <c r="G128" t="str">
        <f ca="1"/>
        <v/>
      </c>
      <c r="H128" t="str">
        <f ca="1"/>
        <v/>
      </c>
      <c r="I128" t="str">
        <f ca="1"/>
        <v/>
      </c>
      <c r="J128" t="str">
        <f ca="1"/>
        <v/>
      </c>
      <c r="K128" t="str">
        <f ca="1"/>
        <v/>
      </c>
      <c r="L128" t="str">
        <f ca="1"/>
        <v/>
      </c>
      <c r="M128" t="str">
        <f ca="1"/>
        <v/>
      </c>
      <c r="N128" t="str">
        <f ca="1"/>
        <v/>
      </c>
      <c r="O128" t="str">
        <f ca="1"/>
        <v/>
      </c>
      <c r="P128" t="str">
        <f ca="1"/>
        <v/>
      </c>
      <c r="Q128" t="str">
        <f ca="1"/>
        <v/>
      </c>
      <c r="R128" t="str">
        <f ca="1"/>
        <v/>
      </c>
      <c r="S128" vm="1206">
        <f ca="1"/>
        <v>86.65</v>
      </c>
      <c r="T128" t="str">
        <f ca="1"/>
        <v/>
      </c>
      <c r="U128" t="str">
        <f ca="1"/>
        <v/>
      </c>
      <c r="V128" t="str">
        <f ca="1"/>
        <v/>
      </c>
      <c r="W128" t="str">
        <f ca="1"/>
        <v/>
      </c>
      <c r="X128" t="str">
        <f ca="1"/>
        <v/>
      </c>
      <c r="Y128" t="str">
        <f ca="1"/>
        <v/>
      </c>
      <c r="Z128" t="str">
        <f ca="1"/>
        <v/>
      </c>
      <c r="AA128" t="str">
        <f ca="1"/>
        <v/>
      </c>
      <c r="AB128" vm="3117">
        <f ca="1"/>
        <v>17.55</v>
      </c>
      <c r="AC128" vm="3118">
        <f ca="1"/>
        <v>29.48</v>
      </c>
      <c r="AD128" t="str">
        <f ca="1"/>
        <v/>
      </c>
      <c r="AE128" t="str">
        <f ca="1"/>
        <v/>
      </c>
      <c r="AF128" t="str">
        <f ca="1"/>
        <v/>
      </c>
      <c r="AG128" t="str">
        <f ca="1"/>
        <v/>
      </c>
      <c r="AH128" t="str">
        <f ca="1"/>
        <v/>
      </c>
      <c r="AI128" t="str">
        <f ca="1"/>
        <v/>
      </c>
      <c r="AJ128" t="str">
        <f ca="1"/>
        <v/>
      </c>
      <c r="AK128" t="str">
        <f ca="1"/>
        <v/>
      </c>
      <c r="AL128" t="str">
        <f ca="1"/>
        <v/>
      </c>
      <c r="AM128" t="str">
        <f ca="1"/>
        <v/>
      </c>
      <c r="AN128" t="str">
        <f ca="1"/>
        <v/>
      </c>
      <c r="AO128" t="str">
        <f ca="1"/>
        <v/>
      </c>
    </row>
    <row r="129" spans="1:41" x14ac:dyDescent="0.4">
      <c r="A129" s="1">
        <f ca="1"/>
        <v>46119</v>
      </c>
      <c r="B129" vm="419">
        <f ca="1"/>
        <v>11.074</v>
      </c>
      <c r="C129" vm="3119">
        <f ca="1"/>
        <v>109.72499999999999</v>
      </c>
      <c r="D129" vm="3120">
        <f ca="1"/>
        <v>171.10730000000001</v>
      </c>
      <c r="E129" vm="3121">
        <f ca="1"/>
        <v>598.12260000000003</v>
      </c>
      <c r="F129" vm="3122">
        <f ca="1"/>
        <v>22.46</v>
      </c>
      <c r="G129" vm="3123">
        <f ca="1"/>
        <v>263.39370000000002</v>
      </c>
      <c r="H129" vm="3124">
        <f ca="1"/>
        <v>641.06399999999996</v>
      </c>
      <c r="I129" vm="3125">
        <f ca="1"/>
        <v>69.44</v>
      </c>
      <c r="J129" vm="3126">
        <f ca="1"/>
        <v>125.7482</v>
      </c>
      <c r="K129" vm="3127">
        <f ca="1"/>
        <v>233.92240000000001</v>
      </c>
      <c r="L129" vm="3128">
        <f ca="1"/>
        <v>881.21</v>
      </c>
      <c r="M129" vm="2297">
        <f ca="1"/>
        <v>56.29</v>
      </c>
      <c r="N129" vm="3129">
        <f ca="1"/>
        <v>23.66</v>
      </c>
      <c r="O129" t="str">
        <f ca="1"/>
        <v/>
      </c>
      <c r="P129" vm="3130">
        <f ca="1"/>
        <v>242.7483</v>
      </c>
      <c r="Q129" vm="3131">
        <f ca="1"/>
        <v>2.7804000000000002</v>
      </c>
      <c r="R129" vm="792">
        <f ca="1"/>
        <v>4.5945</v>
      </c>
      <c r="S129" vm="3132">
        <f ca="1"/>
        <v>86.64</v>
      </c>
      <c r="T129" vm="3133">
        <f ca="1"/>
        <v>4.5411000000000001</v>
      </c>
      <c r="U129" vm="3134">
        <f ca="1"/>
        <v>248.62</v>
      </c>
      <c r="V129" vm="3135">
        <f ca="1"/>
        <v>257.2937</v>
      </c>
      <c r="W129" vm="213">
        <f ca="1"/>
        <v>157.54</v>
      </c>
      <c r="X129" vm="3136">
        <f ca="1"/>
        <v>283.98540000000003</v>
      </c>
      <c r="Y129" vm="3137">
        <f ca="1"/>
        <v>106.83880000000001</v>
      </c>
      <c r="Z129" vm="3138">
        <f ca="1"/>
        <v>211.04499999999999</v>
      </c>
      <c r="AA129" vm="2960">
        <f ca="1"/>
        <v>15.805999999999999</v>
      </c>
      <c r="AB129" vm="3105">
        <f ca="1"/>
        <v>17.52</v>
      </c>
      <c r="AC129" vm="3139">
        <f ca="1"/>
        <v>29.37</v>
      </c>
      <c r="AD129" vm="3140">
        <f ca="1"/>
        <v>146.88</v>
      </c>
      <c r="AE129" vm="932">
        <f ca="1"/>
        <v>123.47</v>
      </c>
      <c r="AF129" vm="3141">
        <f ca="1"/>
        <v>159.21</v>
      </c>
      <c r="AG129" vm="3142">
        <f ca="1"/>
        <v>386.62</v>
      </c>
      <c r="AH129" vm="3143">
        <f ca="1"/>
        <v>384.22</v>
      </c>
      <c r="AI129" vm="3144">
        <f ca="1"/>
        <v>129.16999999999999</v>
      </c>
      <c r="AJ129" vm="3145">
        <f ca="1"/>
        <v>120.7</v>
      </c>
      <c r="AK129" vm="3146">
        <f ca="1"/>
        <v>1012.3739</v>
      </c>
      <c r="AL129" t="str">
        <f ca="1"/>
        <v/>
      </c>
      <c r="AM129" vm="3147">
        <f ca="1"/>
        <v>75.760000000000005</v>
      </c>
      <c r="AN129" vm="3148">
        <f ca="1"/>
        <v>105.98</v>
      </c>
      <c r="AO129" vm="3149">
        <f ca="1"/>
        <v>411.5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Parameters</vt:lpstr>
      <vt:lpstr>Main</vt:lpstr>
      <vt:lpstr>Prices</vt:lpstr>
      <vt:lpstr>EndDate</vt:lpstr>
      <vt:lpstr>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Kello</dc:creator>
  <cp:lastModifiedBy>Jonas Kello</cp:lastModifiedBy>
  <dcterms:created xsi:type="dcterms:W3CDTF">2026-04-02T07:14:59Z</dcterms:created>
  <dcterms:modified xsi:type="dcterms:W3CDTF">2026-04-21T07:53:30Z</dcterms:modified>
</cp:coreProperties>
</file>